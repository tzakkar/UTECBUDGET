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mmam.zakkar\Downloads\"/>
    </mc:Choice>
  </mc:AlternateContent>
  <xr:revisionPtr revIDLastSave="0" documentId="8_{08DC9C42-915D-4925-9E05-1CF96CC75662}" xr6:coauthVersionLast="47" xr6:coauthVersionMax="47" xr10:uidLastSave="{00000000-0000-0000-0000-000000000000}"/>
  <bookViews>
    <workbookView xWindow="-120" yWindow="-120" windowWidth="29040" windowHeight="15720" xr2:uid="{B01B09E6-A058-4837-96F7-2E1D1B36CEA2}"/>
  </bookViews>
  <sheets>
    <sheet name="IT Plan" sheetId="1" r:id="rId1"/>
  </sheets>
  <externalReferences>
    <externalReference r:id="rId2"/>
  </externalReferences>
  <definedNames>
    <definedName name="_xlnm._FilterDatabase" localSheetId="0" hidden="1">'IT Plan'!$A$1:$Z$151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0" i="1" l="1"/>
  <c r="V150" i="1" s="1"/>
  <c r="M149" i="1"/>
  <c r="P149" i="1" s="1"/>
  <c r="S149" i="1" s="1"/>
  <c r="V149" i="1" s="1"/>
  <c r="L148" i="1"/>
  <c r="V147" i="1"/>
  <c r="S147" i="1"/>
  <c r="P147" i="1"/>
  <c r="M147" i="1"/>
  <c r="L146" i="1"/>
  <c r="M145" i="1"/>
  <c r="S145" i="1" s="1"/>
  <c r="L144" i="1"/>
  <c r="M143" i="1"/>
  <c r="V143" i="1" s="1"/>
  <c r="L142" i="1"/>
  <c r="M141" i="1"/>
  <c r="P141" i="1" s="1"/>
  <c r="S141" i="1" s="1"/>
  <c r="V141" i="1" s="1"/>
  <c r="R140" i="1"/>
  <c r="O140" i="1"/>
  <c r="L140" i="1"/>
  <c r="L138" i="1"/>
  <c r="P139" i="1" s="1"/>
  <c r="S139" i="1" s="1"/>
  <c r="V139" i="1" s="1"/>
  <c r="U137" i="1"/>
  <c r="O137" i="1"/>
  <c r="L137" i="1"/>
  <c r="J136" i="1"/>
  <c r="I136" i="1"/>
  <c r="M135" i="1"/>
  <c r="V135" i="1" s="1"/>
  <c r="J135" i="1"/>
  <c r="I135" i="1"/>
  <c r="M134" i="1"/>
  <c r="S134" i="1" s="1"/>
  <c r="J134" i="1"/>
  <c r="I134" i="1"/>
  <c r="V133" i="1"/>
  <c r="S133" i="1"/>
  <c r="P133" i="1"/>
  <c r="M133" i="1"/>
  <c r="J133" i="1"/>
  <c r="I133" i="1"/>
  <c r="M132" i="1"/>
  <c r="J132" i="1" s="1"/>
  <c r="I132" i="1"/>
  <c r="P131" i="1"/>
  <c r="S131" i="1" s="1"/>
  <c r="N130" i="1"/>
  <c r="Q130" i="1" s="1"/>
  <c r="M130" i="1"/>
  <c r="J130" i="1"/>
  <c r="I130" i="1"/>
  <c r="M129" i="1"/>
  <c r="P129" i="1" s="1"/>
  <c r="S129" i="1" s="1"/>
  <c r="N128" i="1"/>
  <c r="Q128" i="1" s="1"/>
  <c r="M128" i="1"/>
  <c r="J128" i="1"/>
  <c r="I128" i="1"/>
  <c r="V127" i="1"/>
  <c r="S127" i="1"/>
  <c r="P127" i="1"/>
  <c r="M127" i="1"/>
  <c r="J127" i="1"/>
  <c r="I127" i="1"/>
  <c r="P126" i="1"/>
  <c r="S126" i="1" s="1"/>
  <c r="V126" i="1" s="1"/>
  <c r="N126" i="1"/>
  <c r="M125" i="1"/>
  <c r="S125" i="1" s="1"/>
  <c r="V124" i="1"/>
  <c r="S124" i="1"/>
  <c r="P124" i="1"/>
  <c r="M123" i="1"/>
  <c r="P123" i="1" s="1"/>
  <c r="J123" i="1"/>
  <c r="I123" i="1"/>
  <c r="M122" i="1"/>
  <c r="P122" i="1" s="1"/>
  <c r="S122" i="1" s="1"/>
  <c r="M121" i="1"/>
  <c r="P121" i="1" s="1"/>
  <c r="S121" i="1" s="1"/>
  <c r="V120" i="1"/>
  <c r="S120" i="1"/>
  <c r="P120" i="1"/>
  <c r="M120" i="1"/>
  <c r="J120" i="1"/>
  <c r="N119" i="1"/>
  <c r="Q119" i="1" s="1"/>
  <c r="T119" i="1" s="1"/>
  <c r="M119" i="1"/>
  <c r="P119" i="1" s="1"/>
  <c r="S119" i="1" s="1"/>
  <c r="V119" i="1" s="1"/>
  <c r="V118" i="1"/>
  <c r="S118" i="1"/>
  <c r="P118" i="1"/>
  <c r="M118" i="1"/>
  <c r="O117" i="1"/>
  <c r="R117" i="1" s="1"/>
  <c r="U117" i="1" s="1"/>
  <c r="M116" i="1"/>
  <c r="V116" i="1" s="1"/>
  <c r="M115" i="1"/>
  <c r="P115" i="1" s="1"/>
  <c r="S115" i="1" s="1"/>
  <c r="V115" i="1" s="1"/>
  <c r="L114" i="1"/>
  <c r="K113" i="1"/>
  <c r="M113" i="1" s="1"/>
  <c r="P113" i="1" s="1"/>
  <c r="S113" i="1" s="1"/>
  <c r="V113" i="1" s="1"/>
  <c r="M112" i="1"/>
  <c r="M151" i="1" s="1"/>
  <c r="M111" i="1"/>
  <c r="P111" i="1" s="1"/>
  <c r="S111" i="1" s="1"/>
  <c r="V111" i="1" s="1"/>
  <c r="M110" i="1"/>
  <c r="P110" i="1" s="1"/>
  <c r="S110" i="1" s="1"/>
  <c r="V110" i="1" s="1"/>
  <c r="S109" i="1"/>
  <c r="V109" i="1" s="1"/>
  <c r="P109" i="1"/>
  <c r="M109" i="1"/>
  <c r="M108" i="1"/>
  <c r="P108" i="1" s="1"/>
  <c r="S108" i="1" s="1"/>
  <c r="V108" i="1" s="1"/>
  <c r="M107" i="1"/>
  <c r="P107" i="1" s="1"/>
  <c r="S107" i="1" s="1"/>
  <c r="V107" i="1" s="1"/>
  <c r="M106" i="1"/>
  <c r="P106" i="1" s="1"/>
  <c r="S106" i="1" s="1"/>
  <c r="V106" i="1" s="1"/>
  <c r="M105" i="1"/>
  <c r="P105" i="1" s="1"/>
  <c r="S105" i="1" s="1"/>
  <c r="V105" i="1" s="1"/>
  <c r="S104" i="1"/>
  <c r="V104" i="1" s="1"/>
  <c r="P104" i="1"/>
  <c r="M104" i="1"/>
  <c r="U103" i="1"/>
  <c r="R103" i="1"/>
  <c r="O103" i="1"/>
  <c r="L103" i="1"/>
  <c r="V102" i="1"/>
  <c r="S102" i="1"/>
  <c r="P102" i="1"/>
  <c r="M102" i="1"/>
  <c r="P101" i="1"/>
  <c r="S101" i="1" s="1"/>
  <c r="V101" i="1" s="1"/>
  <c r="M101" i="1"/>
  <c r="J101" i="1"/>
  <c r="P100" i="1"/>
  <c r="S100" i="1" s="1"/>
  <c r="J100" i="1"/>
  <c r="J99" i="1"/>
  <c r="K98" i="1"/>
  <c r="T98" i="1" s="1"/>
  <c r="V98" i="1" s="1"/>
  <c r="U97" i="1"/>
  <c r="R97" i="1"/>
  <c r="P97" i="1"/>
  <c r="O97" i="1"/>
  <c r="N97" i="1"/>
  <c r="Q97" i="1" s="1"/>
  <c r="M97" i="1"/>
  <c r="U96" i="1"/>
  <c r="R96" i="1"/>
  <c r="O96" i="1"/>
  <c r="L96" i="1"/>
  <c r="J96" i="1"/>
  <c r="U95" i="1"/>
  <c r="R95" i="1"/>
  <c r="O95" i="1"/>
  <c r="L95" i="1"/>
  <c r="U94" i="1"/>
  <c r="R94" i="1"/>
  <c r="O94" i="1"/>
  <c r="L94" i="1"/>
  <c r="J94" i="1"/>
  <c r="I94" i="1"/>
  <c r="J93" i="1"/>
  <c r="U92" i="1"/>
  <c r="R92" i="1"/>
  <c r="O92" i="1"/>
  <c r="L92" i="1"/>
  <c r="J92" i="1"/>
  <c r="R91" i="1"/>
  <c r="O91" i="1"/>
  <c r="L91" i="1"/>
  <c r="J91" i="1"/>
  <c r="I91" i="1"/>
  <c r="L88" i="1"/>
  <c r="I88" i="1"/>
  <c r="L87" i="1"/>
  <c r="J87" i="1"/>
  <c r="L86" i="1"/>
  <c r="U85" i="1"/>
  <c r="R85" i="1"/>
  <c r="O85" i="1"/>
  <c r="L85" i="1"/>
  <c r="J85" i="1"/>
  <c r="I85" i="1"/>
  <c r="L84" i="1"/>
  <c r="J84" i="1"/>
  <c r="L83" i="1"/>
  <c r="J83" i="1"/>
  <c r="N82" i="1"/>
  <c r="Q82" i="1" s="1"/>
  <c r="L82" i="1"/>
  <c r="J82" i="1"/>
  <c r="T81" i="1"/>
  <c r="U81" i="1" s="1"/>
  <c r="Q81" i="1"/>
  <c r="R81" i="1" s="1"/>
  <c r="N81" i="1"/>
  <c r="O81" i="1" s="1"/>
  <c r="K81" i="1"/>
  <c r="L81" i="1" s="1"/>
  <c r="J81" i="1"/>
  <c r="N80" i="1"/>
  <c r="O80" i="1" s="1"/>
  <c r="L80" i="1"/>
  <c r="J80" i="1"/>
  <c r="N79" i="1"/>
  <c r="N83" i="1" s="1"/>
  <c r="O83" i="1" s="1"/>
  <c r="L79" i="1"/>
  <c r="J79" i="1"/>
  <c r="U78" i="1"/>
  <c r="R78" i="1"/>
  <c r="O78" i="1"/>
  <c r="N78" i="1"/>
  <c r="L78" i="1"/>
  <c r="J78" i="1"/>
  <c r="L77" i="1"/>
  <c r="J77" i="1"/>
  <c r="L76" i="1"/>
  <c r="J76" i="1"/>
  <c r="K75" i="1"/>
  <c r="K45" i="1" s="1"/>
  <c r="N45" i="1" s="1"/>
  <c r="Q45" i="1" s="1"/>
  <c r="T45" i="1" s="1"/>
  <c r="J75" i="1"/>
  <c r="T74" i="1"/>
  <c r="U74" i="1" s="1"/>
  <c r="Q74" i="1"/>
  <c r="R74" i="1" s="1"/>
  <c r="O74" i="1"/>
  <c r="N74" i="1"/>
  <c r="L74" i="1"/>
  <c r="J74" i="1"/>
  <c r="V73" i="1"/>
  <c r="S73" i="1"/>
  <c r="N73" i="1"/>
  <c r="P73" i="1" s="1"/>
  <c r="M73" i="1"/>
  <c r="J73" i="1"/>
  <c r="I73" i="1"/>
  <c r="T72" i="1"/>
  <c r="V72" i="1" s="1"/>
  <c r="Q72" i="1"/>
  <c r="S72" i="1" s="1"/>
  <c r="N72" i="1"/>
  <c r="P72" i="1" s="1"/>
  <c r="M72" i="1"/>
  <c r="J72" i="1"/>
  <c r="I72" i="1"/>
  <c r="V71" i="1"/>
  <c r="S71" i="1"/>
  <c r="P71" i="1"/>
  <c r="M71" i="1"/>
  <c r="N70" i="1"/>
  <c r="M70" i="1"/>
  <c r="P70" i="1" s="1"/>
  <c r="J70" i="1"/>
  <c r="I70" i="1"/>
  <c r="T69" i="1"/>
  <c r="V69" i="1" s="1"/>
  <c r="Q69" i="1"/>
  <c r="S69" i="1" s="1"/>
  <c r="N69" i="1"/>
  <c r="P69" i="1" s="1"/>
  <c r="M69" i="1"/>
  <c r="J69" i="1"/>
  <c r="I69" i="1"/>
  <c r="P68" i="1"/>
  <c r="N68" i="1"/>
  <c r="M68" i="1"/>
  <c r="J68" i="1" s="1"/>
  <c r="I68" i="1"/>
  <c r="V67" i="1"/>
  <c r="S67" i="1"/>
  <c r="N67" i="1"/>
  <c r="P67" i="1" s="1"/>
  <c r="M67" i="1"/>
  <c r="J67" i="1"/>
  <c r="I67" i="1"/>
  <c r="V66" i="1"/>
  <c r="S66" i="1"/>
  <c r="P66" i="1"/>
  <c r="M66" i="1"/>
  <c r="J66" i="1"/>
  <c r="I66" i="1"/>
  <c r="V65" i="1"/>
  <c r="S65" i="1"/>
  <c r="N65" i="1"/>
  <c r="P65" i="1" s="1"/>
  <c r="M65" i="1"/>
  <c r="J65" i="1" s="1"/>
  <c r="I65" i="1"/>
  <c r="T64" i="1"/>
  <c r="V64" i="1" s="1"/>
  <c r="Q64" i="1"/>
  <c r="S64" i="1" s="1"/>
  <c r="N64" i="1"/>
  <c r="P64" i="1" s="1"/>
  <c r="M64" i="1"/>
  <c r="J64" i="1"/>
  <c r="I64" i="1"/>
  <c r="N63" i="1"/>
  <c r="Q63" i="1" s="1"/>
  <c r="M63" i="1"/>
  <c r="J63" i="1"/>
  <c r="I63" i="1"/>
  <c r="V62" i="1"/>
  <c r="S62" i="1"/>
  <c r="P62" i="1"/>
  <c r="M62" i="1"/>
  <c r="J62" i="1"/>
  <c r="I62" i="1"/>
  <c r="V61" i="1"/>
  <c r="S61" i="1"/>
  <c r="P61" i="1"/>
  <c r="N61" i="1"/>
  <c r="M61" i="1"/>
  <c r="J61" i="1"/>
  <c r="I61" i="1"/>
  <c r="T60" i="1"/>
  <c r="V60" i="1" s="1"/>
  <c r="N60" i="1"/>
  <c r="P60" i="1" s="1"/>
  <c r="M60" i="1"/>
  <c r="J60" i="1" s="1"/>
  <c r="I60" i="1"/>
  <c r="N59" i="1"/>
  <c r="M59" i="1"/>
  <c r="P59" i="1" s="1"/>
  <c r="J59" i="1"/>
  <c r="I59" i="1"/>
  <c r="V58" i="1"/>
  <c r="S58" i="1"/>
  <c r="N58" i="1"/>
  <c r="P58" i="1" s="1"/>
  <c r="M58" i="1"/>
  <c r="J58" i="1"/>
  <c r="I58" i="1"/>
  <c r="I57" i="1"/>
  <c r="T56" i="1"/>
  <c r="Q56" i="1"/>
  <c r="N56" i="1"/>
  <c r="M56" i="1"/>
  <c r="P56" i="1" s="1"/>
  <c r="J56" i="1"/>
  <c r="I56" i="1"/>
  <c r="V55" i="1"/>
  <c r="S55" i="1"/>
  <c r="P55" i="1"/>
  <c r="N55" i="1"/>
  <c r="J55" i="1"/>
  <c r="I55" i="1"/>
  <c r="V54" i="1"/>
  <c r="T54" i="1"/>
  <c r="Q54" i="1"/>
  <c r="S54" i="1" s="1"/>
  <c r="N54" i="1"/>
  <c r="P54" i="1" s="1"/>
  <c r="M54" i="1"/>
  <c r="J54" i="1"/>
  <c r="I54" i="1"/>
  <c r="N53" i="1"/>
  <c r="M53" i="1"/>
  <c r="S53" i="1" s="1"/>
  <c r="V53" i="1" s="1"/>
  <c r="J53" i="1"/>
  <c r="I53" i="1"/>
  <c r="Q52" i="1"/>
  <c r="T52" i="1" s="1"/>
  <c r="V52" i="1" s="1"/>
  <c r="N52" i="1"/>
  <c r="P52" i="1" s="1"/>
  <c r="M52" i="1"/>
  <c r="J52" i="1"/>
  <c r="I52" i="1"/>
  <c r="V51" i="1"/>
  <c r="S51" i="1"/>
  <c r="N51" i="1"/>
  <c r="P51" i="1" s="1"/>
  <c r="M51" i="1"/>
  <c r="J51" i="1"/>
  <c r="I51" i="1"/>
  <c r="N50" i="1"/>
  <c r="M50" i="1"/>
  <c r="P50" i="1" s="1"/>
  <c r="J50" i="1"/>
  <c r="I50" i="1"/>
  <c r="V49" i="1"/>
  <c r="S49" i="1"/>
  <c r="P49" i="1"/>
  <c r="N49" i="1"/>
  <c r="M49" i="1"/>
  <c r="J49" i="1" s="1"/>
  <c r="I49" i="1"/>
  <c r="N48" i="1"/>
  <c r="Q48" i="1" s="1"/>
  <c r="M48" i="1"/>
  <c r="K47" i="1"/>
  <c r="N47" i="1" s="1"/>
  <c r="I47" i="1"/>
  <c r="N46" i="1"/>
  <c r="M46" i="1"/>
  <c r="P46" i="1" s="1"/>
  <c r="J46" i="1"/>
  <c r="I46" i="1"/>
  <c r="V45" i="1"/>
  <c r="S45" i="1"/>
  <c r="P45" i="1"/>
  <c r="N44" i="1"/>
  <c r="Q44" i="1" s="1"/>
  <c r="M44" i="1"/>
  <c r="J44" i="1" s="1"/>
  <c r="I44" i="1"/>
  <c r="T43" i="1"/>
  <c r="V43" i="1" s="1"/>
  <c r="Q43" i="1"/>
  <c r="S43" i="1" s="1"/>
  <c r="N43" i="1"/>
  <c r="P43" i="1" s="1"/>
  <c r="M43" i="1"/>
  <c r="J43" i="1"/>
  <c r="I43" i="1"/>
  <c r="V42" i="1"/>
  <c r="S42" i="1"/>
  <c r="P42" i="1"/>
  <c r="N42" i="1"/>
  <c r="M42" i="1"/>
  <c r="J42" i="1"/>
  <c r="I42" i="1"/>
  <c r="N41" i="1"/>
  <c r="Q41" i="1" s="1"/>
  <c r="T41" i="1" s="1"/>
  <c r="M41" i="1"/>
  <c r="P41" i="1" s="1"/>
  <c r="T40" i="1"/>
  <c r="V40" i="1" s="1"/>
  <c r="Q40" i="1"/>
  <c r="S40" i="1" s="1"/>
  <c r="N40" i="1"/>
  <c r="P40" i="1" s="1"/>
  <c r="M40" i="1"/>
  <c r="J40" i="1"/>
  <c r="I40" i="1"/>
  <c r="M39" i="1"/>
  <c r="P39" i="1" s="1"/>
  <c r="S39" i="1" s="1"/>
  <c r="V39" i="1" s="1"/>
  <c r="M38" i="1"/>
  <c r="P38" i="1" s="1"/>
  <c r="S38" i="1" s="1"/>
  <c r="V38" i="1" s="1"/>
  <c r="U37" i="1"/>
  <c r="R37" i="1"/>
  <c r="O37" i="1"/>
  <c r="L37" i="1"/>
  <c r="U36" i="1"/>
  <c r="R36" i="1"/>
  <c r="O36" i="1"/>
  <c r="K35" i="1"/>
  <c r="K36" i="1" s="1"/>
  <c r="L36" i="1" s="1"/>
  <c r="U34" i="1"/>
  <c r="R34" i="1"/>
  <c r="O34" i="1"/>
  <c r="O32" i="1"/>
  <c r="L32" i="1"/>
  <c r="V33" i="1" s="1"/>
  <c r="L30" i="1"/>
  <c r="P31" i="1" s="1"/>
  <c r="S31" i="1" s="1"/>
  <c r="V31" i="1" s="1"/>
  <c r="U29" i="1"/>
  <c r="R29" i="1"/>
  <c r="O29" i="1"/>
  <c r="L29" i="1"/>
  <c r="P28" i="1"/>
  <c r="M28" i="1"/>
  <c r="P27" i="1"/>
  <c r="M27" i="1"/>
  <c r="L26" i="1"/>
  <c r="V25" i="1"/>
  <c r="S25" i="1"/>
  <c r="P25" i="1"/>
  <c r="M25" i="1"/>
  <c r="U24" i="1"/>
  <c r="R24" i="1"/>
  <c r="O24" i="1"/>
  <c r="L24" i="1"/>
  <c r="L23" i="1"/>
  <c r="J23" i="1"/>
  <c r="T22" i="1"/>
  <c r="U22" i="1" s="1"/>
  <c r="Q22" i="1"/>
  <c r="R22" i="1" s="1"/>
  <c r="N22" i="1"/>
  <c r="O22" i="1" s="1"/>
  <c r="K22" i="1"/>
  <c r="L22" i="1" s="1"/>
  <c r="J22" i="1"/>
  <c r="M21" i="1"/>
  <c r="V21" i="1" s="1"/>
  <c r="U20" i="1"/>
  <c r="R20" i="1"/>
  <c r="O20" i="1"/>
  <c r="L20" i="1"/>
  <c r="J20" i="1"/>
  <c r="U19" i="1"/>
  <c r="R19" i="1"/>
  <c r="O19" i="1"/>
  <c r="L19" i="1"/>
  <c r="N17" i="1"/>
  <c r="Q17" i="1" s="1"/>
  <c r="L17" i="1"/>
  <c r="J17" i="1"/>
  <c r="U16" i="1"/>
  <c r="K16" i="1"/>
  <c r="L16" i="1" s="1"/>
  <c r="J16" i="1"/>
  <c r="I16" i="1"/>
  <c r="U15" i="1"/>
  <c r="R15" i="1"/>
  <c r="O15" i="1"/>
  <c r="L15" i="1"/>
  <c r="J15" i="1"/>
  <c r="I15" i="1"/>
  <c r="M14" i="1"/>
  <c r="P14" i="1" s="1"/>
  <c r="J14" i="1"/>
  <c r="I14" i="1"/>
  <c r="P13" i="1"/>
  <c r="M13" i="1"/>
  <c r="J13" i="1" s="1"/>
  <c r="I13" i="1"/>
  <c r="M12" i="1"/>
  <c r="J12" i="1"/>
  <c r="I12" i="1"/>
  <c r="M11" i="1"/>
  <c r="J11" i="1"/>
  <c r="I11" i="1"/>
  <c r="M10" i="1"/>
  <c r="J10" i="1"/>
  <c r="I10" i="1"/>
  <c r="P9" i="1"/>
  <c r="S9" i="1" s="1"/>
  <c r="V9" i="1" s="1"/>
  <c r="M9" i="1"/>
  <c r="J9" i="1"/>
  <c r="I9" i="1"/>
  <c r="U8" i="1"/>
  <c r="J8" i="1"/>
  <c r="I8" i="1"/>
  <c r="K7" i="1"/>
  <c r="N7" i="1" s="1"/>
  <c r="J7" i="1"/>
  <c r="U6" i="1"/>
  <c r="R6" i="1"/>
  <c r="O6" i="1"/>
  <c r="L6" i="1"/>
  <c r="V5" i="1"/>
  <c r="S5" i="1"/>
  <c r="P5" i="1"/>
  <c r="M5" i="1"/>
  <c r="J5" i="1"/>
  <c r="V4" i="1"/>
  <c r="S4" i="1"/>
  <c r="P4" i="1"/>
  <c r="M4" i="1"/>
  <c r="J4" i="1"/>
  <c r="V3" i="1"/>
  <c r="S3" i="1"/>
  <c r="P3" i="1"/>
  <c r="M3" i="1"/>
  <c r="J3" i="1"/>
  <c r="V2" i="1"/>
  <c r="S2" i="1"/>
  <c r="P2" i="1"/>
  <c r="M2" i="1"/>
  <c r="J2" i="1"/>
  <c r="S63" i="1" l="1"/>
  <c r="T63" i="1"/>
  <c r="V63" i="1" s="1"/>
  <c r="Q47" i="1"/>
  <c r="P47" i="1"/>
  <c r="S130" i="1"/>
  <c r="T130" i="1"/>
  <c r="V130" i="1" s="1"/>
  <c r="T48" i="1"/>
  <c r="V48" i="1" s="1"/>
  <c r="S48" i="1"/>
  <c r="R82" i="1"/>
  <c r="T82" i="1"/>
  <c r="U82" i="1" s="1"/>
  <c r="T44" i="1"/>
  <c r="V44" i="1" s="1"/>
  <c r="S44" i="1"/>
  <c r="S41" i="1"/>
  <c r="V41" i="1"/>
  <c r="T128" i="1"/>
  <c r="V128" i="1" s="1"/>
  <c r="S128" i="1"/>
  <c r="Q7" i="1"/>
  <c r="O7" i="1"/>
  <c r="T97" i="1"/>
  <c r="V97" i="1"/>
  <c r="T17" i="1"/>
  <c r="U17" i="1" s="1"/>
  <c r="R17" i="1"/>
  <c r="O17" i="1"/>
  <c r="P125" i="1"/>
  <c r="L35" i="1"/>
  <c r="M47" i="1"/>
  <c r="J47" i="1" s="1"/>
  <c r="Q60" i="1"/>
  <c r="S60" i="1" s="1"/>
  <c r="P145" i="1"/>
  <c r="N35" i="1"/>
  <c r="O35" i="1" s="1"/>
  <c r="O82" i="1"/>
  <c r="S56" i="1"/>
  <c r="V56" i="1"/>
  <c r="M98" i="1"/>
  <c r="P33" i="1"/>
  <c r="Q80" i="1"/>
  <c r="N98" i="1"/>
  <c r="P98" i="1" s="1"/>
  <c r="P135" i="1"/>
  <c r="P63" i="1"/>
  <c r="V145" i="1"/>
  <c r="V100" i="1"/>
  <c r="O79" i="1"/>
  <c r="Q79" i="1"/>
  <c r="P53" i="1"/>
  <c r="P134" i="1"/>
  <c r="Q16" i="1"/>
  <c r="R16" i="1" s="1"/>
  <c r="S33" i="1"/>
  <c r="S135" i="1"/>
  <c r="P150" i="1"/>
  <c r="S52" i="1"/>
  <c r="P44" i="1"/>
  <c r="O138" i="1"/>
  <c r="Q35" i="1"/>
  <c r="R35" i="1" s="1"/>
  <c r="L75" i="1"/>
  <c r="P116" i="1"/>
  <c r="S116" i="1" s="1"/>
  <c r="T35" i="1"/>
  <c r="U35" i="1" s="1"/>
  <c r="N75" i="1"/>
  <c r="S97" i="1"/>
  <c r="P48" i="1"/>
  <c r="V134" i="1"/>
  <c r="P112" i="1"/>
  <c r="S112" i="1" s="1"/>
  <c r="V112" i="1" s="1"/>
  <c r="P21" i="1"/>
  <c r="K57" i="1"/>
  <c r="Q98" i="1"/>
  <c r="S98" i="1" s="1"/>
  <c r="P143" i="1"/>
  <c r="S150" i="1"/>
  <c r="N16" i="1"/>
  <c r="O16" i="1" s="1"/>
  <c r="S21" i="1"/>
  <c r="P128" i="1"/>
  <c r="S143" i="1"/>
  <c r="O30" i="1"/>
  <c r="P130" i="1"/>
  <c r="L7" i="1"/>
  <c r="R7" i="1" l="1"/>
  <c r="T7" i="1"/>
  <c r="U7" i="1" s="1"/>
  <c r="Q75" i="1"/>
  <c r="O75" i="1"/>
  <c r="T80" i="1"/>
  <c r="U80" i="1" s="1"/>
  <c r="R80" i="1"/>
  <c r="T47" i="1"/>
  <c r="V47" i="1" s="1"/>
  <c r="S47" i="1"/>
  <c r="T79" i="1"/>
  <c r="R79" i="1"/>
  <c r="Q83" i="1"/>
  <c r="R83" i="1" s="1"/>
  <c r="N57" i="1"/>
  <c r="M57" i="1"/>
  <c r="J57" i="1" s="1"/>
  <c r="T75" i="1" l="1"/>
  <c r="U75" i="1" s="1"/>
  <c r="R75" i="1"/>
  <c r="Q57" i="1"/>
  <c r="P57" i="1"/>
  <c r="U79" i="1"/>
  <c r="T83" i="1"/>
  <c r="U83" i="1" s="1"/>
  <c r="T57" i="1" l="1"/>
  <c r="V57" i="1" s="1"/>
  <c r="S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tc={D79268C0-D882-4EB6-91F6-4FD38B728E4B}</author>
    <author>tc={20D73D54-9893-4514-8623-12445470E5B2}</author>
    <author>tc={F950C5EA-FCE8-4A65-8113-D79FFC8A8CA8}</author>
    <author>tc={C3FD4D99-FC8D-4055-AFEC-B32F6C1ACCC5}</author>
    <author>tc={03438ECB-CEC8-431A-B4F0-46FBDC3458A6}</author>
  </authors>
  <commentList>
    <comment ref="M25" authorId="0" shapeId="0" xr:uid="{D79268C0-D882-4EB6-91F6-4FD38B728E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 time by 10 hours monthly from IT and more than 20 hours by Maintenance team </t>
      </text>
    </comment>
    <comment ref="K35" authorId="1" shapeId="0" xr:uid="{20D73D54-9893-4514-8623-12445470E5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13 MV + 66 TX + 20 Wireless access points MV + 20 AP TX </t>
      </text>
    </comment>
    <comment ref="M41" authorId="2" shapeId="0" xr:uid="{F950C5EA-FCE8-4A65-8113-D79FFC8A8CA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Toner and Maintence cost around 97K</t>
      </text>
    </comment>
    <comment ref="L78" authorId="3" shapeId="0" xr:uid="{C3FD4D99-FC8D-4055-AFEC-B32F6C1ACC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sort as a story telling from top to pottom
Reply:
    Add a 10% for the new years 
Reply:
    Link each year to the pervious 
Reply:
    Add Master data sheet contains all the references </t>
      </text>
    </comment>
    <comment ref="L80" authorId="4" shapeId="0" xr:uid="{03438ECB-CEC8-431A-B4F0-46FBDC3458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sort as a story telling from top to pottom
Reply:
    Add a 10% for the new years 
Reply:
    Link each year to the pervious 
Reply:
    Add Master data sheet contains all the references </t>
      </text>
    </comment>
  </commentList>
</comments>
</file>

<file path=xl/sharedStrings.xml><?xml version="1.0" encoding="utf-8"?>
<sst xmlns="http://schemas.openxmlformats.org/spreadsheetml/2006/main" count="1257" uniqueCount="350">
  <si>
    <t>Type</t>
  </si>
  <si>
    <t>Sub  Type</t>
  </si>
  <si>
    <t xml:space="preserve">Category </t>
  </si>
  <si>
    <t>Class</t>
  </si>
  <si>
    <t>Item</t>
  </si>
  <si>
    <t>Brand</t>
  </si>
  <si>
    <t>Justification</t>
  </si>
  <si>
    <t>#</t>
  </si>
  <si>
    <t>Capex 24</t>
  </si>
  <si>
    <t>Opex 24</t>
  </si>
  <si>
    <t>Capex 25</t>
  </si>
  <si>
    <t>Opex 25</t>
  </si>
  <si>
    <t>Capex 26</t>
  </si>
  <si>
    <t>Opex 26</t>
  </si>
  <si>
    <t>Capex 27</t>
  </si>
  <si>
    <t>Opex 27</t>
  </si>
  <si>
    <t>Capex 28</t>
  </si>
  <si>
    <t>Opex 28</t>
  </si>
  <si>
    <t>25 exist</t>
  </si>
  <si>
    <t>26 Check</t>
  </si>
  <si>
    <t>BAU</t>
  </si>
  <si>
    <t>00 BAU</t>
  </si>
  <si>
    <t xml:space="preserve">IT Infrastructure &amp; connectivity </t>
  </si>
  <si>
    <t>Subscription</t>
  </si>
  <si>
    <t>Internet Access</t>
  </si>
  <si>
    <t>STC</t>
  </si>
  <si>
    <t>5G Internet Subscription for all Locations</t>
  </si>
  <si>
    <t>A</t>
  </si>
  <si>
    <t>Mobily</t>
  </si>
  <si>
    <t>ZAIN</t>
  </si>
  <si>
    <t>Atheer</t>
  </si>
  <si>
    <t xml:space="preserve">SAP &amp; 3CX Public Services </t>
  </si>
  <si>
    <t>NeoBAU</t>
  </si>
  <si>
    <t>10 NeoBAU</t>
  </si>
  <si>
    <t>Hardware</t>
  </si>
  <si>
    <t>OT</t>
  </si>
  <si>
    <t>Cisco</t>
  </si>
  <si>
    <t xml:space="preserve">Replace the Old Switches </t>
  </si>
  <si>
    <t>Tech Suite for User Experience</t>
  </si>
  <si>
    <t>Accessories</t>
  </si>
  <si>
    <t>TBD</t>
  </si>
  <si>
    <t xml:space="preserve">Keyboard, Headphone New and Replacements </t>
  </si>
  <si>
    <t>Server</t>
  </si>
  <si>
    <t>Nutanix</t>
  </si>
  <si>
    <t xml:space="preserve">Replacing 5 years  Production Servers </t>
  </si>
  <si>
    <t>Operating System License Renewal</t>
  </si>
  <si>
    <t xml:space="preserve">VPS (Virtual Private Server) </t>
  </si>
  <si>
    <t>Contabo</t>
  </si>
  <si>
    <t>UTEC Website Hosting (Front-end)</t>
  </si>
  <si>
    <t>O</t>
  </si>
  <si>
    <t>Docker</t>
  </si>
  <si>
    <t>UTEC Website Hosting (Back-end)</t>
  </si>
  <si>
    <t>SiteGround</t>
  </si>
  <si>
    <t>UTEC MyBoard Hosting (Front-end)</t>
  </si>
  <si>
    <t xml:space="preserve">Domain Name </t>
  </si>
  <si>
    <t>Dnet</t>
  </si>
  <si>
    <t>Annual Hosting Fees</t>
  </si>
  <si>
    <t xml:space="preserve">IT Infrastructure &amp; Connectivity </t>
  </si>
  <si>
    <t>DNS (Domain Name Server)</t>
  </si>
  <si>
    <t>Nour</t>
  </si>
  <si>
    <t xml:space="preserve">OT Infrastructure &amp; Connectivity </t>
  </si>
  <si>
    <t>CAT6 Cables</t>
  </si>
  <si>
    <t>3M</t>
  </si>
  <si>
    <t>Replacement and Expansion</t>
  </si>
  <si>
    <t>Desktops</t>
  </si>
  <si>
    <t>Dell</t>
  </si>
  <si>
    <t>Replacement</t>
  </si>
  <si>
    <t>Access</t>
  </si>
  <si>
    <t>New Employees (TBC)</t>
  </si>
  <si>
    <t>N</t>
  </si>
  <si>
    <t>2Floor</t>
  </si>
  <si>
    <t>Devices Maintenance</t>
  </si>
  <si>
    <t>Maintenance and Support (Productivity Saving)</t>
  </si>
  <si>
    <t>Distribution Level Switch</t>
  </si>
  <si>
    <t xml:space="preserve">New Switches </t>
  </si>
  <si>
    <t>USSG</t>
  </si>
  <si>
    <t>DC</t>
  </si>
  <si>
    <t>Dock Stations</t>
  </si>
  <si>
    <t>Lenovo</t>
  </si>
  <si>
    <t>SD-WAN</t>
  </si>
  <si>
    <t>Cloudflare</t>
  </si>
  <si>
    <t>Replace P2P by SD-WAN Subscription (SAAS)</t>
  </si>
  <si>
    <t>NA</t>
  </si>
  <si>
    <t>Wall Racks</t>
  </si>
  <si>
    <t>New (TBC)</t>
  </si>
  <si>
    <t xml:space="preserve">External Storage </t>
  </si>
  <si>
    <t>WD</t>
  </si>
  <si>
    <t>New  For Communcation Department</t>
  </si>
  <si>
    <t>Data Protection &amp; Security Operations</t>
  </si>
  <si>
    <t>Firewall 201F</t>
  </si>
  <si>
    <t>FortiGate</t>
  </si>
  <si>
    <t>High Availability for Firewalls (adding 2)</t>
  </si>
  <si>
    <t>1Floor</t>
  </si>
  <si>
    <t>Maintenance</t>
  </si>
  <si>
    <t>Surveillance Cameras</t>
  </si>
  <si>
    <t>Dahua</t>
  </si>
  <si>
    <t>Infrastructure</t>
  </si>
  <si>
    <t>Revamp Data Center</t>
  </si>
  <si>
    <t>Rev</t>
  </si>
  <si>
    <t>30 MES</t>
  </si>
  <si>
    <t>MES Subscription</t>
  </si>
  <si>
    <t>GE</t>
  </si>
  <si>
    <t>MES Subscription for UTEE &amp; USSG</t>
  </si>
  <si>
    <t>MES Servers Hosting</t>
  </si>
  <si>
    <t>GE Servers Hardware</t>
  </si>
  <si>
    <t>Implementation</t>
  </si>
  <si>
    <t>MES Implementation</t>
  </si>
  <si>
    <t>MES Implementation for UTEE &amp; USSG</t>
  </si>
  <si>
    <t>MES, IIOT</t>
  </si>
  <si>
    <t>Machines Connectivity  for UTEE &amp; USSG</t>
  </si>
  <si>
    <t>Annual maintenance of the H/W</t>
  </si>
  <si>
    <t>Industrial Scanners, Printers, etc.</t>
  </si>
  <si>
    <t>OT Wireless Access</t>
  </si>
  <si>
    <t>Arouba</t>
  </si>
  <si>
    <t>Wireless coverage for IOT Devices and Tablets</t>
  </si>
  <si>
    <t>OT Network Cables &amp; Points</t>
  </si>
  <si>
    <t>Provide Network Access for Shop Floor Machines</t>
  </si>
  <si>
    <t>OT Network Switches</t>
  </si>
  <si>
    <t>OT Network Racks</t>
  </si>
  <si>
    <t xml:space="preserve">For OT Network Electronics </t>
  </si>
  <si>
    <t>Manpower</t>
  </si>
  <si>
    <t>Onsite OT Network Engineer</t>
  </si>
  <si>
    <t>UTEC</t>
  </si>
  <si>
    <t>Support the New OT</t>
  </si>
  <si>
    <t>Enterprise Applications Implementation</t>
  </si>
  <si>
    <t>Onsite MES Functional Consultant</t>
  </si>
  <si>
    <t>Manufacturing Execution System MES Engineer</t>
  </si>
  <si>
    <t>Tech Suite for User Experience - Advanced</t>
  </si>
  <si>
    <t>AutoCAD</t>
  </si>
  <si>
    <t>Autodesk</t>
  </si>
  <si>
    <t>Engineering  - Drafting and Design</t>
  </si>
  <si>
    <t>Outsource Multifunction Devices</t>
  </si>
  <si>
    <t>Xerox</t>
  </si>
  <si>
    <t>Cover all Copying Machines &amp; Office Printers</t>
  </si>
  <si>
    <t>CREO Design Advance</t>
  </si>
  <si>
    <t>PTC</t>
  </si>
  <si>
    <t>Engineering - Advanced Product Design</t>
  </si>
  <si>
    <t>Basic</t>
  </si>
  <si>
    <t>Microsoft</t>
  </si>
  <si>
    <t>Office License (Web Office + email)</t>
  </si>
  <si>
    <t>TX</t>
  </si>
  <si>
    <t>Electrical Control Panel Design</t>
  </si>
  <si>
    <t>Eplan</t>
  </si>
  <si>
    <t>Engineering  - Electrical Schematics Software</t>
  </si>
  <si>
    <t>Windows 10/11 Enterprise E3</t>
  </si>
  <si>
    <t>Windows License O365</t>
  </si>
  <si>
    <t>Inventor Professional</t>
  </si>
  <si>
    <t>Engineering - Mechanical 3D Design</t>
  </si>
  <si>
    <t>Office E3 License</t>
  </si>
  <si>
    <t>Office License (Office + email)</t>
  </si>
  <si>
    <t>Business Standard</t>
  </si>
  <si>
    <t>MATLAB</t>
  </si>
  <si>
    <t>MathWorks</t>
  </si>
  <si>
    <t>Engineering  - Mathematical Computing Environment</t>
  </si>
  <si>
    <t>Revit</t>
  </si>
  <si>
    <t>Engineering - Building Information Modeling</t>
  </si>
  <si>
    <t>Adobe Creative Cloud</t>
  </si>
  <si>
    <t>Adobe</t>
  </si>
  <si>
    <t>Design App</t>
  </si>
  <si>
    <t>Exchange Plan 1</t>
  </si>
  <si>
    <t>Office License (email)</t>
  </si>
  <si>
    <t xml:space="preserve">SolidWok </t>
  </si>
  <si>
    <t>Dassault Systèmes</t>
  </si>
  <si>
    <t>Engineering  - 3D CAD Modeling</t>
  </si>
  <si>
    <t>Project Plan 3</t>
  </si>
  <si>
    <t>MS Project</t>
  </si>
  <si>
    <t>SG Punching Machine Software</t>
  </si>
  <si>
    <t>Primapower</t>
  </si>
  <si>
    <t>Engineering  - CNC Punching Solution</t>
  </si>
  <si>
    <t>Tableau</t>
  </si>
  <si>
    <t>Salesforce</t>
  </si>
  <si>
    <t xml:space="preserve">BI Tools </t>
  </si>
  <si>
    <t>ShopFloor</t>
  </si>
  <si>
    <t>Email Signatures 365</t>
  </si>
  <si>
    <t>CodeTwo</t>
  </si>
  <si>
    <t>Email Signature App</t>
  </si>
  <si>
    <t>Design Stock</t>
  </si>
  <si>
    <t>SAP 2000</t>
  </si>
  <si>
    <t>Csiamerica</t>
  </si>
  <si>
    <t>Engineering  - Structural Analysis Software</t>
  </si>
  <si>
    <t>Visio</t>
  </si>
  <si>
    <t>Process Desing App</t>
  </si>
  <si>
    <t xml:space="preserve">CREO Simulation Live </t>
  </si>
  <si>
    <t>Engineering  - Real-Time Design Analysis</t>
  </si>
  <si>
    <t>Communication</t>
  </si>
  <si>
    <t>3CX</t>
  </si>
  <si>
    <t>IP Telephone Server License</t>
  </si>
  <si>
    <t>Adobe Pro</t>
  </si>
  <si>
    <t>Editing PDF</t>
  </si>
  <si>
    <t>Envato</t>
  </si>
  <si>
    <t>Marketplace</t>
  </si>
  <si>
    <t>Virtual Tour Software</t>
  </si>
  <si>
    <t>Kuula</t>
  </si>
  <si>
    <t>Microsoft Team Shared Devices</t>
  </si>
  <si>
    <t>For the Meeting Room Devices</t>
  </si>
  <si>
    <t>Wondershare</t>
  </si>
  <si>
    <t>Flimora</t>
  </si>
  <si>
    <t>Video Editing</t>
  </si>
  <si>
    <t>SAP Crystal Reports</t>
  </si>
  <si>
    <t>SAP</t>
  </si>
  <si>
    <t>Engineering  - Business Reporting Tool</t>
  </si>
  <si>
    <t>Power BI</t>
  </si>
  <si>
    <t>BI Tools</t>
  </si>
  <si>
    <t>MindManager</t>
  </si>
  <si>
    <t>IT Service Desk</t>
  </si>
  <si>
    <t>ManageEngine</t>
  </si>
  <si>
    <t>IT Support Application (ITSM)</t>
  </si>
  <si>
    <t>Gmail Workspace</t>
  </si>
  <si>
    <t>Google</t>
  </si>
  <si>
    <t xml:space="preserve">For SAP Domain email </t>
  </si>
  <si>
    <t>MV</t>
  </si>
  <si>
    <t>Lucid Chart</t>
  </si>
  <si>
    <t>Lucid</t>
  </si>
  <si>
    <t>Engineering - Flowchart and Diagramming</t>
  </si>
  <si>
    <t xml:space="preserve">Laptops </t>
  </si>
  <si>
    <t>10 - A</t>
  </si>
  <si>
    <t>Apple</t>
  </si>
  <si>
    <t>Replacements</t>
  </si>
  <si>
    <t>New Comm Employees</t>
  </si>
  <si>
    <t>Mobile Phones</t>
  </si>
  <si>
    <t xml:space="preserve">New </t>
  </si>
  <si>
    <t>Samsung</t>
  </si>
  <si>
    <t>Monitors</t>
  </si>
  <si>
    <t>24 inch</t>
  </si>
  <si>
    <t>32 inch</t>
  </si>
  <si>
    <t>NAS (Network Area Storage)</t>
  </si>
  <si>
    <t>Synology</t>
  </si>
  <si>
    <t xml:space="preserve">Expand the Sorage Capacity </t>
  </si>
  <si>
    <t>Network Racks</t>
  </si>
  <si>
    <t xml:space="preserve">Upgrade the 18-U Switches' Racks </t>
  </si>
  <si>
    <t>Office Printers</t>
  </si>
  <si>
    <t>HP</t>
  </si>
  <si>
    <t xml:space="preserve">Replacing 8 years DR Server </t>
  </si>
  <si>
    <t>Stationery</t>
  </si>
  <si>
    <t>To cover DT needs</t>
  </si>
  <si>
    <t>Control Room (New Government Regulation)</t>
  </si>
  <si>
    <t>Surveillance NVR</t>
  </si>
  <si>
    <t>Time Attendance Devices</t>
  </si>
  <si>
    <t>ZKT</t>
  </si>
  <si>
    <t>Training Room Solutions</t>
  </si>
  <si>
    <t>Laser Projector &amp; Sound System for the Training Room (TBC)</t>
  </si>
  <si>
    <t>TVs</t>
  </si>
  <si>
    <t>CalssPro</t>
  </si>
  <si>
    <t>Meeting Rooms (TBC)</t>
  </si>
  <si>
    <t>Uplinks Fiber Cables</t>
  </si>
  <si>
    <t xml:space="preserve">Replace the CAT6 cables between Switches with Fiber Optics  </t>
  </si>
  <si>
    <t>Video Conferencing Solutions</t>
  </si>
  <si>
    <t>Owl Pro</t>
  </si>
  <si>
    <t>For the new Meeting Rooms</t>
  </si>
  <si>
    <t>Remote TV Administration</t>
  </si>
  <si>
    <t>Vive</t>
  </si>
  <si>
    <t>Connect  All TVs</t>
  </si>
  <si>
    <t>Adobe Sign</t>
  </si>
  <si>
    <t>eSignature</t>
  </si>
  <si>
    <t>SAP Support</t>
  </si>
  <si>
    <t>Annual Maintenance</t>
  </si>
  <si>
    <t xml:space="preserve">SAP Annual Maintenance  </t>
  </si>
  <si>
    <t>Process Modeling &amp; Intelligence</t>
  </si>
  <si>
    <t xml:space="preserve">SAP Signavio </t>
  </si>
  <si>
    <t>Application Management Support AMS</t>
  </si>
  <si>
    <t>IBS</t>
  </si>
  <si>
    <t>Annual Contract (PMO, FICO, MM, PP, SD, HCM, &amp; ABAP)</t>
  </si>
  <si>
    <t>20 SAP</t>
  </si>
  <si>
    <t xml:space="preserve">Annual </t>
  </si>
  <si>
    <t>Sales, Finance, Material Management, Production &amp; Planning, Enterprise Asset Management, etc.</t>
  </si>
  <si>
    <t xml:space="preserve">Implementation </t>
  </si>
  <si>
    <t xml:space="preserve">SAP Full Implementation </t>
  </si>
  <si>
    <t>Onsite SAP Functional Consultant</t>
  </si>
  <si>
    <t>Material Management + Extended Warehouse Management</t>
  </si>
  <si>
    <t>Production Planning Management + Quality Management</t>
  </si>
  <si>
    <t>Offshore SAP Functional Consultant</t>
  </si>
  <si>
    <t>Sales &amp; Service Core + Sales &amp; Distribution + Configure, Price, Quotation CPQ</t>
  </si>
  <si>
    <t>Finance &amp; Controlling + Advanced Finance Modules</t>
  </si>
  <si>
    <t>Portfolio &amp; Project Management+ Product Life cycle Management</t>
  </si>
  <si>
    <t>SuccessFactors (Talent Management Modules)</t>
  </si>
  <si>
    <t>Offshore Technical Lead</t>
  </si>
  <si>
    <t>Technical Lead</t>
  </si>
  <si>
    <t>Offshore PMO</t>
  </si>
  <si>
    <t>PMO</t>
  </si>
  <si>
    <t>Travel &amp; Accommodation</t>
  </si>
  <si>
    <t>4 annual visits to KSA for offshore team</t>
  </si>
  <si>
    <t>Certification</t>
  </si>
  <si>
    <t>SAP Certification for Applications Staff</t>
  </si>
  <si>
    <t>Enterprise Platform Deployment</t>
  </si>
  <si>
    <t>JIRA - Project Management</t>
  </si>
  <si>
    <t>JIRA</t>
  </si>
  <si>
    <t>Agile Project Management</t>
  </si>
  <si>
    <t>50 AI</t>
  </si>
  <si>
    <t>AI Introduction &amp; Business Applications</t>
  </si>
  <si>
    <t>RPA Initiatives</t>
  </si>
  <si>
    <t>AI / RPA Initiatives</t>
  </si>
  <si>
    <t>Gen AI</t>
  </si>
  <si>
    <t>Explore, Introduce, Deploy, &amp; Maintain AI Applications</t>
  </si>
  <si>
    <t xml:space="preserve"> </t>
  </si>
  <si>
    <t>Copilot O365</t>
  </si>
  <si>
    <t>Surveillance AI</t>
  </si>
  <si>
    <t>Adding AI to surveillance system</t>
  </si>
  <si>
    <t>Firewall License</t>
  </si>
  <si>
    <t>Annual Firewall Licenses</t>
  </si>
  <si>
    <t>DDoS</t>
  </si>
  <si>
    <t>DDoS Protection</t>
  </si>
  <si>
    <t>CDN</t>
  </si>
  <si>
    <t>Content Delivery Networks</t>
  </si>
  <si>
    <t>Device Management Application</t>
  </si>
  <si>
    <t>Manage and Secure all Mobile Devices</t>
  </si>
  <si>
    <t>Network Security Application</t>
  </si>
  <si>
    <t>Illumio</t>
  </si>
  <si>
    <t>Zero Trust Segmentation</t>
  </si>
  <si>
    <t>Vulnerability Testing</t>
  </si>
  <si>
    <t>Security Assessment</t>
  </si>
  <si>
    <t>Assessing the Current Configuration</t>
  </si>
  <si>
    <t>Backup Service</t>
  </si>
  <si>
    <t>Veeam</t>
  </si>
  <si>
    <t>VEEAM for Regular Backup &amp; DR</t>
  </si>
  <si>
    <t>Endpoint Security Application</t>
  </si>
  <si>
    <t>Kaspersky</t>
  </si>
  <si>
    <t>Endpoint Security subscription to protect user devices from malware.</t>
  </si>
  <si>
    <t>Browser Isolation</t>
  </si>
  <si>
    <t>Insulating users from ransomware, phishing, and zero-day browser vulnerabilities.</t>
  </si>
  <si>
    <t>Recovery Manger Plus</t>
  </si>
  <si>
    <t>Backup Management for DR</t>
  </si>
  <si>
    <t>Web Application Firewall</t>
  </si>
  <si>
    <t>Layer 7 Protection &amp; Security for APP &amp; Website</t>
  </si>
  <si>
    <t>Na</t>
  </si>
  <si>
    <t>AD Audit Plus</t>
  </si>
  <si>
    <t>Active Directory Audit</t>
  </si>
  <si>
    <t>Zero Trust VPN Application</t>
  </si>
  <si>
    <t>TwinGate</t>
  </si>
  <si>
    <t>VPN License</t>
  </si>
  <si>
    <t>OP Manger Plus</t>
  </si>
  <si>
    <t>Monitoring &amp; Managing the Network</t>
  </si>
  <si>
    <t>AD Self Service Plus</t>
  </si>
  <si>
    <t>Active Directory Password Reset Tool</t>
  </si>
  <si>
    <t>AD Manager Plus</t>
  </si>
  <si>
    <t>Active Directory Tool to Update Users' Data (by HC)</t>
  </si>
  <si>
    <t xml:space="preserve">Wireless Access Points </t>
  </si>
  <si>
    <t xml:space="preserve">Upgrade the Speed and the Security </t>
  </si>
  <si>
    <t>40 Sustainability</t>
  </si>
  <si>
    <t>Sustainability</t>
  </si>
  <si>
    <t>Sustainability, IIOT</t>
  </si>
  <si>
    <t>UTEC &amp; USSG (Service Integrator)</t>
  </si>
  <si>
    <t>Consultancy  &amp; Data Historian</t>
  </si>
  <si>
    <t>Energy, Carbon, Water, Waste, etc.</t>
  </si>
  <si>
    <t>Corporate Management &amp; ESG Disclosure</t>
  </si>
  <si>
    <t>Product Carbon Footprint LCA</t>
  </si>
  <si>
    <t>Product Carbon Footprint, LCA</t>
  </si>
  <si>
    <t>Governance, Risk, &amp; Compliance GRC</t>
  </si>
  <si>
    <t>Health, Saftey, &amp; Environment HSE</t>
  </si>
  <si>
    <t>Consultations</t>
  </si>
  <si>
    <t>Raqueem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</si>
</sst>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?_);_(@_)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9"/>
      <color theme="1"/>
      <name val="ArialMT"/>
      <charset val="1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3" fontId="3" fillId="2" borderId="1" xfId="0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vertical="top"/>
    </xf>
    <xf numFmtId="164" fontId="3" fillId="2" borderId="2" xfId="1" applyNumberFormat="1" applyFont="1" applyFill="1" applyBorder="1" applyAlignment="1">
      <alignment horizontal="center"/>
    </xf>
    <xf numFmtId="0" fontId="0" fillId="3" borderId="3" xfId="0" applyFill="1" applyBorder="1"/>
    <xf numFmtId="0" fontId="0" fillId="0" borderId="3" xfId="0" applyBorder="1" applyAlignment="1">
      <alignment vertical="center"/>
    </xf>
    <xf numFmtId="0" fontId="0" fillId="0" borderId="3" xfId="0" applyBorder="1"/>
    <xf numFmtId="0" fontId="0" fillId="4" borderId="3" xfId="0" applyFill="1" applyBorder="1"/>
    <xf numFmtId="0" fontId="0" fillId="5" borderId="3" xfId="0" applyFill="1" applyBorder="1"/>
    <xf numFmtId="1" fontId="0" fillId="5" borderId="3" xfId="0" applyNumberFormat="1" applyFill="1" applyBorder="1" applyAlignment="1">
      <alignment horizontal="right"/>
    </xf>
    <xf numFmtId="1" fontId="0" fillId="5" borderId="3" xfId="0" applyNumberFormat="1" applyFill="1" applyBorder="1"/>
    <xf numFmtId="1" fontId="0" fillId="5" borderId="3" xfId="1" applyNumberFormat="1" applyFont="1" applyFill="1" applyBorder="1" applyAlignment="1">
      <alignment horizontal="right"/>
    </xf>
    <xf numFmtId="164" fontId="0" fillId="5" borderId="3" xfId="1" applyNumberFormat="1" applyFont="1" applyFill="1" applyBorder="1" applyAlignment="1">
      <alignment horizontal="right"/>
    </xf>
    <xf numFmtId="164" fontId="0" fillId="6" borderId="3" xfId="1" applyNumberFormat="1" applyFont="1" applyFill="1" applyBorder="1" applyAlignment="1">
      <alignment horizontal="right"/>
    </xf>
    <xf numFmtId="164" fontId="4" fillId="6" borderId="3" xfId="1" applyNumberFormat="1" applyFont="1" applyFill="1" applyBorder="1" applyAlignment="1">
      <alignment horizontal="right" vertical="center"/>
    </xf>
    <xf numFmtId="164" fontId="0" fillId="7" borderId="3" xfId="1" applyNumberFormat="1" applyFont="1" applyFill="1" applyBorder="1" applyAlignment="1">
      <alignment horizontal="right"/>
    </xf>
    <xf numFmtId="164" fontId="4" fillId="7" borderId="3" xfId="1" applyNumberFormat="1" applyFont="1" applyFill="1" applyBorder="1" applyAlignment="1">
      <alignment horizontal="right" vertical="center"/>
    </xf>
    <xf numFmtId="164" fontId="0" fillId="8" borderId="3" xfId="1" applyNumberFormat="1" applyFont="1" applyFill="1" applyBorder="1" applyAlignment="1">
      <alignment horizontal="right"/>
    </xf>
    <xf numFmtId="164" fontId="4" fillId="8" borderId="3" xfId="1" applyNumberFormat="1" applyFont="1" applyFill="1" applyBorder="1" applyAlignment="1">
      <alignment horizontal="right" vertical="center"/>
    </xf>
    <xf numFmtId="0" fontId="0" fillId="9" borderId="3" xfId="0" applyFill="1" applyBorder="1"/>
    <xf numFmtId="0" fontId="0" fillId="10" borderId="3" xfId="0" applyFill="1" applyBorder="1"/>
    <xf numFmtId="1" fontId="0" fillId="10" borderId="3" xfId="0" applyNumberFormat="1" applyFill="1" applyBorder="1"/>
    <xf numFmtId="1" fontId="0" fillId="10" borderId="3" xfId="1" applyNumberFormat="1" applyFont="1" applyFill="1" applyBorder="1" applyAlignment="1">
      <alignment horizontal="right"/>
    </xf>
    <xf numFmtId="164" fontId="0" fillId="10" borderId="3" xfId="1" applyNumberFormat="1" applyFont="1" applyFill="1" applyBorder="1" applyAlignment="1">
      <alignment horizontal="right"/>
    </xf>
    <xf numFmtId="164" fontId="0" fillId="11" borderId="3" xfId="1" applyNumberFormat="1" applyFont="1" applyFill="1" applyBorder="1" applyAlignment="1">
      <alignment horizontal="right"/>
    </xf>
    <xf numFmtId="1" fontId="0" fillId="12" borderId="3" xfId="0" applyNumberFormat="1" applyFill="1" applyBorder="1"/>
    <xf numFmtId="1" fontId="0" fillId="11" borderId="3" xfId="1" applyNumberFormat="1" applyFont="1" applyFill="1" applyBorder="1" applyAlignment="1">
      <alignment horizontal="right"/>
    </xf>
    <xf numFmtId="1" fontId="0" fillId="12" borderId="3" xfId="0" applyNumberFormat="1" applyFill="1" applyBorder="1" applyAlignment="1">
      <alignment horizontal="right"/>
    </xf>
    <xf numFmtId="0" fontId="0" fillId="5" borderId="0" xfId="0" applyFill="1"/>
    <xf numFmtId="0" fontId="0" fillId="13" borderId="3" xfId="0" applyFill="1" applyBorder="1"/>
    <xf numFmtId="1" fontId="0" fillId="13" borderId="3" xfId="0" applyNumberFormat="1" applyFill="1" applyBorder="1"/>
    <xf numFmtId="1" fontId="0" fillId="13" borderId="3" xfId="1" applyNumberFormat="1" applyFont="1" applyFill="1" applyBorder="1" applyAlignment="1">
      <alignment horizontal="right"/>
    </xf>
    <xf numFmtId="164" fontId="0" fillId="13" borderId="3" xfId="1" applyNumberFormat="1" applyFont="1" applyFill="1" applyBorder="1" applyAlignment="1">
      <alignment horizontal="right"/>
    </xf>
    <xf numFmtId="0" fontId="5" fillId="4" borderId="3" xfId="0" applyFont="1" applyFill="1" applyBorder="1"/>
    <xf numFmtId="0" fontId="0" fillId="14" borderId="3" xfId="0" applyFill="1" applyBorder="1"/>
    <xf numFmtId="164" fontId="0" fillId="11" borderId="3" xfId="1" applyNumberFormat="1" applyFont="1" applyFill="1" applyBorder="1" applyAlignment="1">
      <alignment vertical="center"/>
    </xf>
    <xf numFmtId="164" fontId="0" fillId="11" borderId="3" xfId="1" applyNumberFormat="1" applyFont="1" applyFill="1" applyBorder="1" applyAlignment="1">
      <alignment horizontal="right" vertical="center"/>
    </xf>
    <xf numFmtId="0" fontId="6" fillId="0" borderId="0" xfId="0" applyFont="1"/>
    <xf numFmtId="0" fontId="0" fillId="15" borderId="3" xfId="0" applyFill="1" applyBorder="1"/>
    <xf numFmtId="1" fontId="0" fillId="15" borderId="3" xfId="0" applyNumberFormat="1" applyFill="1" applyBorder="1"/>
    <xf numFmtId="1" fontId="0" fillId="15" borderId="3" xfId="1" applyNumberFormat="1" applyFont="1" applyFill="1" applyBorder="1" applyAlignment="1">
      <alignment horizontal="right"/>
    </xf>
    <xf numFmtId="164" fontId="0" fillId="15" borderId="3" xfId="1" applyNumberFormat="1" applyFont="1" applyFill="1" applyBorder="1" applyAlignment="1">
      <alignment horizontal="right"/>
    </xf>
    <xf numFmtId="0" fontId="5" fillId="13" borderId="3" xfId="0" applyFont="1" applyFill="1" applyBorder="1"/>
    <xf numFmtId="164" fontId="5" fillId="16" borderId="3" xfId="1" applyNumberFormat="1" applyFont="1" applyFill="1" applyBorder="1" applyAlignment="1">
      <alignment horizontal="right"/>
    </xf>
    <xf numFmtId="0" fontId="0" fillId="17" borderId="3" xfId="0" applyFill="1" applyBorder="1"/>
    <xf numFmtId="1" fontId="0" fillId="17" borderId="3" xfId="0" applyNumberFormat="1" applyFill="1" applyBorder="1"/>
    <xf numFmtId="1" fontId="0" fillId="17" borderId="3" xfId="1" applyNumberFormat="1" applyFont="1" applyFill="1" applyBorder="1" applyAlignment="1">
      <alignment horizontal="right"/>
    </xf>
    <xf numFmtId="164" fontId="0" fillId="17" borderId="3" xfId="1" applyNumberFormat="1" applyFont="1" applyFill="1" applyBorder="1" applyAlignment="1">
      <alignment horizontal="right"/>
    </xf>
    <xf numFmtId="0" fontId="0" fillId="5" borderId="3" xfId="0" applyFill="1" applyBorder="1" applyAlignment="1">
      <alignment wrapText="1"/>
    </xf>
    <xf numFmtId="1" fontId="0" fillId="5" borderId="3" xfId="0" applyNumberFormat="1" applyFill="1" applyBorder="1" applyAlignment="1">
      <alignment wrapText="1"/>
    </xf>
    <xf numFmtId="18" fontId="0" fillId="0" borderId="0" xfId="0" applyNumberFormat="1"/>
    <xf numFmtId="3" fontId="7" fillId="0" borderId="0" xfId="0" applyNumberFormat="1" applyFont="1"/>
    <xf numFmtId="3" fontId="0" fillId="0" borderId="0" xfId="0" applyNumberFormat="1"/>
    <xf numFmtId="1" fontId="0" fillId="17" borderId="3" xfId="0" applyNumberFormat="1" applyFill="1" applyBorder="1" applyAlignment="1">
      <alignment horizontal="right"/>
    </xf>
    <xf numFmtId="164" fontId="8" fillId="8" borderId="1" xfId="1" applyNumberFormat="1" applyFont="1" applyFill="1" applyBorder="1" applyAlignment="1">
      <alignment vertical="top"/>
    </xf>
    <xf numFmtId="164" fontId="1" fillId="8" borderId="1" xfId="1" applyNumberFormat="1" applyFont="1" applyFill="1" applyBorder="1" applyAlignment="1">
      <alignment vertical="top"/>
    </xf>
    <xf numFmtId="0" fontId="4" fillId="0" borderId="3" xfId="0" applyFont="1" applyBorder="1"/>
    <xf numFmtId="0" fontId="0" fillId="0" borderId="3" xfId="0" applyBorder="1" applyAlignment="1">
      <alignment wrapText="1"/>
    </xf>
    <xf numFmtId="43" fontId="0" fillId="0" borderId="0" xfId="0" applyNumberFormat="1"/>
    <xf numFmtId="164" fontId="0" fillId="0" borderId="0" xfId="0" applyNumberFormat="1"/>
    <xf numFmtId="1" fontId="0" fillId="12" borderId="3" xfId="0" applyNumberFormat="1" applyFill="1" applyBorder="1" applyAlignment="1">
      <alignment wrapText="1"/>
    </xf>
    <xf numFmtId="3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/>
    </xf>
    <xf numFmtId="3" fontId="0" fillId="0" borderId="0" xfId="1" applyNumberFormat="1" applyFont="1" applyFill="1" applyBorder="1" applyAlignment="1">
      <alignment horizontal="right"/>
    </xf>
    <xf numFmtId="164" fontId="0" fillId="0" borderId="0" xfId="1" applyNumberFormat="1" applyFont="1" applyFill="1" applyBorder="1" applyAlignment="1">
      <alignment horizontal="right"/>
    </xf>
    <xf numFmtId="164" fontId="0" fillId="0" borderId="0" xfId="1" applyNumberFormat="1" applyFont="1"/>
    <xf numFmtId="165" fontId="0" fillId="0" borderId="0" xfId="0" applyNumberFormat="1"/>
    <xf numFmtId="164" fontId="0" fillId="0" borderId="0" xfId="1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1" applyNumberFormat="1" applyFont="1" applyFill="1" applyBorder="1" applyAlignment="1">
      <alignment horizontal="right"/>
    </xf>
    <xf numFmtId="164" fontId="9" fillId="0" borderId="0" xfId="1" applyNumberFormat="1" applyFont="1" applyFill="1" applyBorder="1" applyAlignment="1">
      <alignment horizontal="right"/>
    </xf>
    <xf numFmtId="164" fontId="9" fillId="0" borderId="0" xfId="1" applyNumberFormat="1" applyFont="1"/>
    <xf numFmtId="164" fontId="9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mmam.zakkar\Downloads\Tech%20&amp;%20DT%20Plan%20(2025%20-2028)%20v6.1%20(2).xlsx" TargetMode="External"/><Relationship Id="rId1" Type="http://schemas.openxmlformats.org/officeDocument/2006/relationships/externalLinkPath" Target="Tech%20&amp;%20DT%20Plan%20(2025%20-2028)%20v6.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IT Plan"/>
      <sheetName val="Sheet1"/>
      <sheetName val="Budget and Projects"/>
      <sheetName val="Final SAP BOM"/>
      <sheetName val="SAP BOM"/>
      <sheetName val="GE BOM"/>
      <sheetName val="Other BOM"/>
      <sheetName val="Sheet6"/>
      <sheetName val="Sheet7"/>
      <sheetName val="Sheet8"/>
      <sheetName val="Sheet9"/>
      <sheetName val="Sheet14"/>
      <sheetName val="PC's Setup"/>
      <sheetName val="Apps"/>
      <sheetName val="Emp Software's"/>
      <sheetName val="Tech Suite"/>
      <sheetName val="REV Spent"/>
      <sheetName val="Where to Print"/>
      <sheetName val="Sheet15"/>
      <sheetName val="Network Dig"/>
      <sheetName val="Switchs"/>
    </sheetNames>
    <sheetDataSet>
      <sheetData sheetId="0"/>
      <sheetData sheetId="1"/>
      <sheetData sheetId="2"/>
      <sheetData sheetId="3"/>
      <sheetData sheetId="4">
        <row r="98">
          <cell r="L98">
            <v>964186.875</v>
          </cell>
          <cell r="R98">
            <v>1714186.875</v>
          </cell>
          <cell r="S98">
            <v>4517466.5566891162</v>
          </cell>
          <cell r="T98">
            <v>4571897.8066891162</v>
          </cell>
        </row>
      </sheetData>
      <sheetData sheetId="5"/>
      <sheetData sheetId="6"/>
      <sheetData sheetId="7">
        <row r="2">
          <cell r="B2">
            <v>35000</v>
          </cell>
        </row>
        <row r="3">
          <cell r="B3">
            <v>10000</v>
          </cell>
        </row>
        <row r="4">
          <cell r="B4">
            <v>1500</v>
          </cell>
        </row>
        <row r="5">
          <cell r="B5">
            <v>1500</v>
          </cell>
        </row>
        <row r="6">
          <cell r="B6">
            <v>1500</v>
          </cell>
        </row>
        <row r="8">
          <cell r="B8">
            <v>3000</v>
          </cell>
        </row>
        <row r="9">
          <cell r="B9">
            <v>20000</v>
          </cell>
        </row>
        <row r="10">
          <cell r="B10">
            <v>400</v>
          </cell>
        </row>
        <row r="11">
          <cell r="B11">
            <v>10000</v>
          </cell>
        </row>
        <row r="12">
          <cell r="B12">
            <v>1500</v>
          </cell>
        </row>
        <row r="14">
          <cell r="B14">
            <v>50000</v>
          </cell>
        </row>
        <row r="15">
          <cell r="B15">
            <v>450</v>
          </cell>
        </row>
        <row r="16">
          <cell r="B16">
            <v>1350</v>
          </cell>
        </row>
        <row r="17">
          <cell r="B17">
            <v>15000</v>
          </cell>
        </row>
        <row r="18">
          <cell r="B18">
            <v>680</v>
          </cell>
        </row>
        <row r="19">
          <cell r="B19">
            <v>450</v>
          </cell>
        </row>
        <row r="20">
          <cell r="B20">
            <v>810</v>
          </cell>
        </row>
        <row r="21">
          <cell r="B21">
            <v>1000</v>
          </cell>
        </row>
        <row r="22">
          <cell r="B22">
            <v>224</v>
          </cell>
        </row>
        <row r="23">
          <cell r="B23">
            <v>186</v>
          </cell>
        </row>
        <row r="24">
          <cell r="B24">
            <v>1350</v>
          </cell>
        </row>
        <row r="25">
          <cell r="B25">
            <v>11780</v>
          </cell>
        </row>
        <row r="26">
          <cell r="B26">
            <v>5280</v>
          </cell>
        </row>
        <row r="27">
          <cell r="B27">
            <v>360</v>
          </cell>
        </row>
        <row r="28">
          <cell r="B28">
            <v>3500</v>
          </cell>
        </row>
        <row r="29">
          <cell r="B29">
            <v>3850</v>
          </cell>
        </row>
        <row r="30">
          <cell r="B30">
            <v>480</v>
          </cell>
        </row>
        <row r="31">
          <cell r="B31">
            <v>700</v>
          </cell>
        </row>
        <row r="32">
          <cell r="B32">
            <v>400</v>
          </cell>
        </row>
        <row r="33">
          <cell r="B33">
            <v>2000</v>
          </cell>
        </row>
        <row r="34">
          <cell r="B34">
            <v>5000</v>
          </cell>
        </row>
        <row r="35">
          <cell r="B35">
            <v>3500</v>
          </cell>
        </row>
        <row r="36">
          <cell r="B36">
            <v>712.5</v>
          </cell>
        </row>
        <row r="37">
          <cell r="B37">
            <v>6500</v>
          </cell>
        </row>
        <row r="38">
          <cell r="B38">
            <v>17000</v>
          </cell>
        </row>
        <row r="40">
          <cell r="B40">
            <v>120000</v>
          </cell>
        </row>
        <row r="42">
          <cell r="B42">
            <v>1350</v>
          </cell>
        </row>
        <row r="43">
          <cell r="B43">
            <v>1230</v>
          </cell>
        </row>
        <row r="44">
          <cell r="B44">
            <v>7428</v>
          </cell>
        </row>
        <row r="45">
          <cell r="B45">
            <v>1056</v>
          </cell>
        </row>
        <row r="46">
          <cell r="B46">
            <v>450</v>
          </cell>
        </row>
        <row r="47">
          <cell r="B47">
            <v>6225</v>
          </cell>
        </row>
        <row r="53">
          <cell r="B53">
            <v>38.8125</v>
          </cell>
        </row>
        <row r="54">
          <cell r="B54">
            <v>20</v>
          </cell>
        </row>
        <row r="55">
          <cell r="B55">
            <v>1305</v>
          </cell>
        </row>
        <row r="57">
          <cell r="B57">
            <v>3800</v>
          </cell>
        </row>
        <row r="58">
          <cell r="B58">
            <v>5000</v>
          </cell>
        </row>
        <row r="59">
          <cell r="B59">
            <v>5625</v>
          </cell>
        </row>
        <row r="60">
          <cell r="B60">
            <v>1530</v>
          </cell>
        </row>
        <row r="61">
          <cell r="B61">
            <v>15000</v>
          </cell>
        </row>
        <row r="62">
          <cell r="B62">
            <v>82050</v>
          </cell>
        </row>
        <row r="63">
          <cell r="B63">
            <v>10000</v>
          </cell>
        </row>
        <row r="64">
          <cell r="B64">
            <v>30000</v>
          </cell>
        </row>
        <row r="65">
          <cell r="B65">
            <v>15000</v>
          </cell>
        </row>
        <row r="66">
          <cell r="B66">
            <v>10000</v>
          </cell>
        </row>
        <row r="67">
          <cell r="B67">
            <v>79648</v>
          </cell>
        </row>
        <row r="68">
          <cell r="B68">
            <v>50000</v>
          </cell>
        </row>
        <row r="69">
          <cell r="B69">
            <v>562.5</v>
          </cell>
        </row>
        <row r="70">
          <cell r="B70">
            <v>87648.4</v>
          </cell>
        </row>
        <row r="72">
          <cell r="B72">
            <v>17769.2</v>
          </cell>
        </row>
        <row r="73">
          <cell r="B73">
            <v>89049.600000000006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etwork" id="{6B94A096-7495-44A9-AE21-FC031B2CEFB9}">
    <nsvFilter filterId="{A5993637-A166-914A-B562-B6A53F1A8360}" ref="A1:Z151" tableId="0">
      <columnFilter colId="2">
        <filter colId="2">
          <x:filters>
            <x:filter val="Data Protection &amp; Security Operations"/>
            <x:filter val="IT Infrastructure &amp; connectivity"/>
            <x:filter val="OT Infrastructure &amp; Connectivity"/>
            <x:filter val="Sustainability"/>
          </x:filters>
        </filter>
      </columnFilter>
      <columnFilter colId="3">
        <filter colId="3">
          <x:filters>
            <x:filter val="Hardware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Tammam Zakkar" id="{DF1259A7-81D1-49AE-8928-736025A9183D}" userId="S::tammam.zakkar@utec.com.sa::15a92885-e348-489f-af5b-381d26adac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5" dT="2024-11-11T08:12:01.33" personId="{DF1259A7-81D1-49AE-8928-736025A9183D}" id="{D79268C0-D882-4EB6-91F6-4FD38B728E4B}">
    <text xml:space="preserve">Reduce time by 10 hours monthly from IT and more than 20 hours by Maintenance team </text>
  </threadedComment>
  <threadedComment ref="K35" dT="2024-11-11T07:00:03.15" personId="{DF1259A7-81D1-49AE-8928-736025A9183D}" id="{20D73D54-9893-4514-8623-12445470E5B2}">
    <text xml:space="preserve">13 MV + 66 TX + 20 Wireless access points MV + 20 AP TX </text>
  </threadedComment>
  <threadedComment ref="M41" dT="2024-11-11T09:40:22.96" personId="{DF1259A7-81D1-49AE-8928-736025A9183D}" id="{F950C5EA-FCE8-4A65-8113-D79FFC8A8CA8}">
    <text>Current Toner and Maintence cost around 97K</text>
  </threadedComment>
  <threadedComment ref="L78" dT="2024-11-10T16:31:32.54" personId="{DF1259A7-81D1-49AE-8928-736025A9183D}" id="{C3FD4D99-FC8D-4055-AFEC-B32F6C1ACCC5}">
    <text>1 sort as a story telling from top to pottom</text>
  </threadedComment>
  <threadedComment ref="L78" dT="2024-11-10T16:32:45.10" personId="{DF1259A7-81D1-49AE-8928-736025A9183D}" id="{4D7D9CDE-0AE4-40C9-9435-D3CAC0CFBE89}" parentId="{C3FD4D99-FC8D-4055-AFEC-B32F6C1ACCC5}">
    <text xml:space="preserve">Add a 10% for the new years 
</text>
  </threadedComment>
  <threadedComment ref="L78" dT="2024-11-10T16:33:22.15" personId="{DF1259A7-81D1-49AE-8928-736025A9183D}" id="{128F121D-9427-4485-9670-6A709D7676F2}" parentId="{C3FD4D99-FC8D-4055-AFEC-B32F6C1ACCC5}">
    <text xml:space="preserve">Link each year to the pervious 
</text>
  </threadedComment>
  <threadedComment ref="L78" dT="2024-11-10T16:34:21.59" personId="{DF1259A7-81D1-49AE-8928-736025A9183D}" id="{9447CF3A-0C75-4757-990E-5796FA46554A}" parentId="{C3FD4D99-FC8D-4055-AFEC-B32F6C1ACCC5}">
    <text xml:space="preserve">Add Master data sheet contains all the references </text>
  </threadedComment>
  <threadedComment ref="L80" dT="2024-11-10T16:31:32.54" personId="{DF1259A7-81D1-49AE-8928-736025A9183D}" id="{03438ECB-CEC8-431A-B4F0-46FBDC3458A6}">
    <text>1 sort as a story telling from top to pottom</text>
  </threadedComment>
  <threadedComment ref="L80" dT="2024-11-10T16:32:45.10" personId="{DF1259A7-81D1-49AE-8928-736025A9183D}" id="{1A61BD24-C2BD-42FA-B689-AE9C2E76E81A}" parentId="{03438ECB-CEC8-431A-B4F0-46FBDC3458A6}">
    <text xml:space="preserve">Add a 10% for the new years 
</text>
  </threadedComment>
  <threadedComment ref="L80" dT="2024-11-10T16:33:22.15" personId="{DF1259A7-81D1-49AE-8928-736025A9183D}" id="{1C6312F0-6749-4D4B-B41A-7F5ACB25FE71}" parentId="{03438ECB-CEC8-431A-B4F0-46FBDC3458A6}">
    <text xml:space="preserve">Link each year to the pervious 
</text>
  </threadedComment>
  <threadedComment ref="L80" dT="2024-11-10T16:34:21.59" personId="{DF1259A7-81D1-49AE-8928-736025A9183D}" id="{6BAF0E4C-2A01-4748-BEA2-2A461F7F6529}" parentId="{03438ECB-CEC8-431A-B4F0-46FBDC3458A6}">
    <text xml:space="preserve">Add Master data sheet contains all the references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67BE-D89D-4952-B632-F6E41A82D389}">
  <dimension ref="A1:AB167"/>
  <sheetViews>
    <sheetView tabSelected="1" zoomScale="79" zoomScaleNormal="120" workbookViewId="0">
      <pane ySplit="1" topLeftCell="A2" activePane="bottomLeft" state="frozen"/>
      <selection pane="bottomLeft" activeCell="D1" sqref="D1:M127"/>
    </sheetView>
  </sheetViews>
  <sheetFormatPr defaultColWidth="11" defaultRowHeight="15.75"/>
  <cols>
    <col min="1" max="1" width="9" customWidth="1"/>
    <col min="2" max="2" width="16.875" bestFit="1" customWidth="1"/>
    <col min="3" max="3" width="35.625" bestFit="1" customWidth="1"/>
    <col min="4" max="4" width="13.875" customWidth="1"/>
    <col min="5" max="5" width="35.625" customWidth="1"/>
    <col min="6" max="6" width="16.125" bestFit="1" customWidth="1"/>
    <col min="7" max="7" width="47.375" customWidth="1"/>
    <col min="8" max="10" width="10" hidden="1" customWidth="1"/>
    <col min="11" max="11" width="7.625" style="64" bestFit="1" customWidth="1"/>
    <col min="12" max="12" width="10.625" style="65" customWidth="1"/>
    <col min="13" max="13" width="13.125" style="65" customWidth="1"/>
    <col min="14" max="14" width="12.875" style="65" bestFit="1" customWidth="1"/>
    <col min="15" max="15" width="10.5" style="65" customWidth="1"/>
    <col min="16" max="16" width="14.625" style="65" bestFit="1" customWidth="1"/>
    <col min="17" max="17" width="12.875" style="65" bestFit="1" customWidth="1"/>
    <col min="18" max="18" width="12.625" style="65" bestFit="1" customWidth="1"/>
    <col min="19" max="19" width="10.625" style="65" customWidth="1"/>
    <col min="20" max="20" width="5.625" style="65" customWidth="1"/>
    <col min="21" max="21" width="9.375" style="65" customWidth="1"/>
    <col min="22" max="22" width="10.875" style="65" customWidth="1"/>
    <col min="23" max="23" width="14.625" customWidth="1"/>
    <col min="24" max="30" width="11" customWidth="1"/>
  </cols>
  <sheetData>
    <row r="1" spans="1:28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2" t="s">
        <v>7</v>
      </c>
      <c r="L1" s="4" t="s">
        <v>10</v>
      </c>
      <c r="M1" s="4" t="s">
        <v>11</v>
      </c>
      <c r="N1" s="5" t="s">
        <v>7</v>
      </c>
      <c r="O1" s="4" t="s">
        <v>12</v>
      </c>
      <c r="P1" s="4" t="s">
        <v>13</v>
      </c>
      <c r="Q1" s="5" t="s">
        <v>7</v>
      </c>
      <c r="R1" s="4" t="s">
        <v>14</v>
      </c>
      <c r="S1" s="4" t="s">
        <v>15</v>
      </c>
      <c r="T1" s="5" t="s">
        <v>7</v>
      </c>
      <c r="U1" s="4" t="s">
        <v>16</v>
      </c>
      <c r="V1" s="4" t="s">
        <v>17</v>
      </c>
      <c r="W1" t="s">
        <v>18</v>
      </c>
      <c r="X1" s="6" t="s">
        <v>19</v>
      </c>
    </row>
    <row r="2" spans="1:28">
      <c r="A2" s="7" t="s">
        <v>20</v>
      </c>
      <c r="B2" s="7" t="s">
        <v>21</v>
      </c>
      <c r="C2" s="8" t="s">
        <v>22</v>
      </c>
      <c r="D2" s="9" t="s">
        <v>23</v>
      </c>
      <c r="E2" s="10" t="s">
        <v>24</v>
      </c>
      <c r="F2" s="10" t="s">
        <v>25</v>
      </c>
      <c r="G2" s="11" t="s">
        <v>26</v>
      </c>
      <c r="H2" s="12">
        <v>6</v>
      </c>
      <c r="I2" s="13"/>
      <c r="J2" s="13">
        <f>M2</f>
        <v>18000</v>
      </c>
      <c r="K2" s="14">
        <v>6</v>
      </c>
      <c r="L2" s="15"/>
      <c r="M2" s="15">
        <f>K2*'[1]Other BOM'!B8</f>
        <v>18000</v>
      </c>
      <c r="N2" s="16">
        <v>6</v>
      </c>
      <c r="O2" s="17"/>
      <c r="P2" s="17">
        <f>N2*'[1]Other BOM'!B8</f>
        <v>18000</v>
      </c>
      <c r="Q2" s="18">
        <v>6</v>
      </c>
      <c r="R2" s="19"/>
      <c r="S2" s="19">
        <f>Q2*'[1]Other BOM'!B8</f>
        <v>18000</v>
      </c>
      <c r="T2" s="20">
        <v>6</v>
      </c>
      <c r="U2" s="21"/>
      <c r="V2" s="21">
        <f>T2*'[1]Other BOM'!B8</f>
        <v>18000</v>
      </c>
      <c r="W2" t="s">
        <v>27</v>
      </c>
      <c r="X2" t="s">
        <v>27</v>
      </c>
    </row>
    <row r="3" spans="1:28">
      <c r="A3" s="7" t="s">
        <v>20</v>
      </c>
      <c r="B3" s="7" t="s">
        <v>21</v>
      </c>
      <c r="C3" s="8" t="s">
        <v>22</v>
      </c>
      <c r="D3" s="9" t="s">
        <v>23</v>
      </c>
      <c r="E3" s="10" t="s">
        <v>24</v>
      </c>
      <c r="F3" s="10" t="s">
        <v>28</v>
      </c>
      <c r="G3" s="11" t="s">
        <v>26</v>
      </c>
      <c r="H3" s="12">
        <v>5</v>
      </c>
      <c r="I3" s="13"/>
      <c r="J3" s="13">
        <f t="shared" ref="J3:J4" si="0">M3</f>
        <v>15000</v>
      </c>
      <c r="K3" s="14">
        <v>5</v>
      </c>
      <c r="L3" s="15"/>
      <c r="M3" s="15">
        <f>K3*'[1]Other BOM'!B8</f>
        <v>15000</v>
      </c>
      <c r="N3" s="16">
        <v>5</v>
      </c>
      <c r="O3" s="17"/>
      <c r="P3" s="17">
        <f>N3*'[1]Other BOM'!B8</f>
        <v>15000</v>
      </c>
      <c r="Q3" s="18">
        <v>5</v>
      </c>
      <c r="R3" s="19"/>
      <c r="S3" s="19">
        <f>Q3*'[1]Other BOM'!B8</f>
        <v>15000</v>
      </c>
      <c r="T3" s="20">
        <v>5</v>
      </c>
      <c r="U3" s="21"/>
      <c r="V3" s="21">
        <f>T3*'[1]Other BOM'!B8</f>
        <v>15000</v>
      </c>
      <c r="W3" t="s">
        <v>27</v>
      </c>
      <c r="X3" t="s">
        <v>27</v>
      </c>
    </row>
    <row r="4" spans="1:28">
      <c r="A4" s="7" t="s">
        <v>20</v>
      </c>
      <c r="B4" s="7" t="s">
        <v>21</v>
      </c>
      <c r="C4" s="8" t="s">
        <v>22</v>
      </c>
      <c r="D4" s="9" t="s">
        <v>23</v>
      </c>
      <c r="E4" s="10" t="s">
        <v>24</v>
      </c>
      <c r="F4" s="10" t="s">
        <v>29</v>
      </c>
      <c r="G4" s="11" t="s">
        <v>26</v>
      </c>
      <c r="H4" s="12">
        <v>5</v>
      </c>
      <c r="I4" s="13"/>
      <c r="J4" s="13">
        <f t="shared" si="0"/>
        <v>15000</v>
      </c>
      <c r="K4" s="14">
        <v>5</v>
      </c>
      <c r="L4" s="15"/>
      <c r="M4" s="15">
        <f>K4*'[1]Other BOM'!B8</f>
        <v>15000</v>
      </c>
      <c r="N4" s="16">
        <v>5</v>
      </c>
      <c r="O4" s="17"/>
      <c r="P4" s="17">
        <f>N4*'[1]Other BOM'!B8</f>
        <v>15000</v>
      </c>
      <c r="Q4" s="18">
        <v>5</v>
      </c>
      <c r="R4" s="19"/>
      <c r="S4" s="19">
        <f>Q4*'[1]Other BOM'!B8</f>
        <v>15000</v>
      </c>
      <c r="T4" s="20">
        <v>5</v>
      </c>
      <c r="U4" s="21"/>
      <c r="V4" s="21">
        <f>T4*'[1]Other BOM'!B8</f>
        <v>15000</v>
      </c>
      <c r="W4" t="s">
        <v>27</v>
      </c>
      <c r="X4" t="s">
        <v>27</v>
      </c>
    </row>
    <row r="5" spans="1:28">
      <c r="A5" s="7" t="s">
        <v>20</v>
      </c>
      <c r="B5" s="7" t="s">
        <v>21</v>
      </c>
      <c r="C5" s="8" t="s">
        <v>22</v>
      </c>
      <c r="D5" s="9" t="s">
        <v>23</v>
      </c>
      <c r="E5" s="10" t="s">
        <v>24</v>
      </c>
      <c r="F5" s="10" t="s">
        <v>30</v>
      </c>
      <c r="G5" s="11" t="s">
        <v>31</v>
      </c>
      <c r="H5" s="12">
        <v>12</v>
      </c>
      <c r="I5" s="13"/>
      <c r="J5" s="13">
        <f>M5</f>
        <v>240000</v>
      </c>
      <c r="K5" s="14">
        <v>12</v>
      </c>
      <c r="L5" s="15"/>
      <c r="M5" s="15">
        <f>'[1]Other BOM'!B9*12</f>
        <v>240000</v>
      </c>
      <c r="N5" s="16">
        <v>12</v>
      </c>
      <c r="O5" s="17"/>
      <c r="P5" s="17">
        <f>N5*'[1]Other BOM'!B9</f>
        <v>240000</v>
      </c>
      <c r="Q5" s="18">
        <v>12</v>
      </c>
      <c r="R5" s="19"/>
      <c r="S5" s="19">
        <f>Q5*'[1]Other BOM'!B9</f>
        <v>240000</v>
      </c>
      <c r="T5" s="20">
        <v>12</v>
      </c>
      <c r="U5" s="21"/>
      <c r="V5" s="21">
        <f>T5*'[1]Other BOM'!B9</f>
        <v>240000</v>
      </c>
      <c r="W5" t="s">
        <v>27</v>
      </c>
      <c r="X5" t="s">
        <v>27</v>
      </c>
    </row>
    <row r="6" spans="1:28">
      <c r="A6" s="22" t="s">
        <v>32</v>
      </c>
      <c r="B6" s="22" t="s">
        <v>33</v>
      </c>
      <c r="C6" s="8" t="s">
        <v>22</v>
      </c>
      <c r="D6" s="9" t="s">
        <v>34</v>
      </c>
      <c r="E6" s="10" t="s">
        <v>35</v>
      </c>
      <c r="F6" s="10" t="s">
        <v>36</v>
      </c>
      <c r="G6" s="23" t="s">
        <v>37</v>
      </c>
      <c r="H6" s="24"/>
      <c r="I6" s="24"/>
      <c r="J6" s="24"/>
      <c r="K6" s="25">
        <v>22</v>
      </c>
      <c r="L6" s="26">
        <f>(K6)*'[1]Other BOM'!B3</f>
        <v>220000</v>
      </c>
      <c r="M6" s="27"/>
      <c r="N6" s="16">
        <v>4</v>
      </c>
      <c r="O6" s="17">
        <f>(N6)*'[1]Other BOM'!B3</f>
        <v>40000</v>
      </c>
      <c r="P6" s="17"/>
      <c r="Q6" s="18">
        <v>5</v>
      </c>
      <c r="R6" s="19">
        <f>(Q6)*'[1]Other BOM'!B3</f>
        <v>50000</v>
      </c>
      <c r="S6" s="19"/>
      <c r="T6" s="20">
        <v>9</v>
      </c>
      <c r="U6" s="21">
        <f>T6*'[1]Other BOM'!B3</f>
        <v>90000</v>
      </c>
      <c r="V6" s="21"/>
      <c r="W6" t="s">
        <v>27</v>
      </c>
    </row>
    <row r="7" spans="1:28">
      <c r="A7" s="7" t="s">
        <v>20</v>
      </c>
      <c r="B7" s="7" t="s">
        <v>21</v>
      </c>
      <c r="C7" s="8" t="s">
        <v>38</v>
      </c>
      <c r="D7" s="9" t="s">
        <v>34</v>
      </c>
      <c r="E7" s="10" t="s">
        <v>39</v>
      </c>
      <c r="F7" s="10" t="s">
        <v>40</v>
      </c>
      <c r="G7" s="9" t="s">
        <v>41</v>
      </c>
      <c r="H7" s="28">
        <v>1</v>
      </c>
      <c r="I7" s="28">
        <v>43481</v>
      </c>
      <c r="J7" s="28">
        <f>M7</f>
        <v>0</v>
      </c>
      <c r="K7" s="29">
        <f>64+18+57</f>
        <v>139</v>
      </c>
      <c r="L7" s="27">
        <f>K7*'[1]Other BOM'!B32+2400</f>
        <v>58000</v>
      </c>
      <c r="M7" s="27"/>
      <c r="N7" s="16">
        <f>K7*1.1</f>
        <v>152.9</v>
      </c>
      <c r="O7" s="17">
        <f>N7*'[1]Other BOM'!B32</f>
        <v>61160</v>
      </c>
      <c r="P7" s="17"/>
      <c r="Q7" s="18">
        <f>N7*1.1</f>
        <v>168.19000000000003</v>
      </c>
      <c r="R7" s="19">
        <f>Q7*'[1]Other BOM'!B32</f>
        <v>67276.000000000015</v>
      </c>
      <c r="S7" s="19"/>
      <c r="T7" s="20">
        <f>Q7*1.1</f>
        <v>185.00900000000004</v>
      </c>
      <c r="U7" s="21">
        <f>T7*'[1]Other BOM'!B32</f>
        <v>74003.60000000002</v>
      </c>
      <c r="V7" s="21"/>
      <c r="W7" t="s">
        <v>27</v>
      </c>
    </row>
    <row r="8" spans="1:28">
      <c r="A8" s="7" t="s">
        <v>20</v>
      </c>
      <c r="B8" s="7" t="s">
        <v>21</v>
      </c>
      <c r="C8" s="8" t="s">
        <v>22</v>
      </c>
      <c r="D8" s="9" t="s">
        <v>34</v>
      </c>
      <c r="E8" s="10" t="s">
        <v>42</v>
      </c>
      <c r="F8" s="10" t="s">
        <v>43</v>
      </c>
      <c r="G8" s="9" t="s">
        <v>44</v>
      </c>
      <c r="H8" s="30">
        <v>0</v>
      </c>
      <c r="I8" s="28">
        <f t="shared" ref="I8:J17" si="1">L8</f>
        <v>0</v>
      </c>
      <c r="J8" s="28">
        <f>M8</f>
        <v>0</v>
      </c>
      <c r="K8" s="29">
        <v>0</v>
      </c>
      <c r="L8" s="27"/>
      <c r="M8" s="27"/>
      <c r="N8" s="16">
        <v>0</v>
      </c>
      <c r="O8" s="17"/>
      <c r="P8" s="17"/>
      <c r="Q8" s="18">
        <v>0</v>
      </c>
      <c r="R8" s="19"/>
      <c r="S8" s="19"/>
      <c r="T8" s="20">
        <v>3</v>
      </c>
      <c r="U8" s="21">
        <f>T8*'[1]Other BOM'!B40</f>
        <v>360000</v>
      </c>
      <c r="V8" s="21"/>
    </row>
    <row r="9" spans="1:28">
      <c r="A9" s="7" t="s">
        <v>20</v>
      </c>
      <c r="B9" s="7" t="s">
        <v>21</v>
      </c>
      <c r="C9" s="8" t="s">
        <v>22</v>
      </c>
      <c r="D9" s="9" t="s">
        <v>23</v>
      </c>
      <c r="E9" s="10" t="s">
        <v>42</v>
      </c>
      <c r="F9" s="10" t="s">
        <v>43</v>
      </c>
      <c r="G9" s="11" t="s">
        <v>45</v>
      </c>
      <c r="H9" s="12">
        <v>1</v>
      </c>
      <c r="I9" s="13">
        <f t="shared" si="1"/>
        <v>0</v>
      </c>
      <c r="J9" s="13">
        <f>177000</f>
        <v>177000</v>
      </c>
      <c r="K9" s="14">
        <v>1</v>
      </c>
      <c r="L9" s="15"/>
      <c r="M9" s="15">
        <f>K9*127000+50000</f>
        <v>177000</v>
      </c>
      <c r="N9" s="16">
        <v>1</v>
      </c>
      <c r="O9" s="17"/>
      <c r="P9" s="17">
        <f>40896*2</f>
        <v>81792</v>
      </c>
      <c r="Q9" s="18">
        <v>1</v>
      </c>
      <c r="R9" s="19"/>
      <c r="S9" s="19">
        <f>P9</f>
        <v>81792</v>
      </c>
      <c r="T9" s="20">
        <v>1</v>
      </c>
      <c r="U9" s="21"/>
      <c r="V9" s="21">
        <f>S9</f>
        <v>81792</v>
      </c>
      <c r="W9" t="s">
        <v>27</v>
      </c>
      <c r="X9" t="s">
        <v>27</v>
      </c>
    </row>
    <row r="10" spans="1:28">
      <c r="A10" s="7" t="s">
        <v>20</v>
      </c>
      <c r="B10" s="7" t="s">
        <v>21</v>
      </c>
      <c r="C10" s="8" t="s">
        <v>22</v>
      </c>
      <c r="D10" s="9" t="s">
        <v>23</v>
      </c>
      <c r="E10" s="10" t="s">
        <v>46</v>
      </c>
      <c r="F10" s="10" t="s">
        <v>47</v>
      </c>
      <c r="G10" s="11" t="s">
        <v>48</v>
      </c>
      <c r="H10" s="12">
        <v>3</v>
      </c>
      <c r="I10" s="13">
        <f t="shared" si="1"/>
        <v>0</v>
      </c>
      <c r="J10" s="13">
        <f t="shared" si="1"/>
        <v>742.5</v>
      </c>
      <c r="K10" s="14">
        <v>3</v>
      </c>
      <c r="L10" s="15"/>
      <c r="M10" s="15">
        <f>K10*5.5*12*3.75</f>
        <v>742.5</v>
      </c>
      <c r="N10" s="16">
        <v>3</v>
      </c>
      <c r="O10" s="17"/>
      <c r="P10" s="17">
        <v>742.5</v>
      </c>
      <c r="Q10" s="18">
        <v>3</v>
      </c>
      <c r="R10" s="19"/>
      <c r="S10" s="19">
        <v>742.5</v>
      </c>
      <c r="T10" s="20">
        <v>3</v>
      </c>
      <c r="U10" s="21"/>
      <c r="V10" s="21">
        <v>742.5</v>
      </c>
      <c r="W10" t="s">
        <v>27</v>
      </c>
      <c r="X10" t="s">
        <v>49</v>
      </c>
    </row>
    <row r="11" spans="1:28">
      <c r="A11" s="7" t="s">
        <v>20</v>
      </c>
      <c r="B11" s="7" t="s">
        <v>21</v>
      </c>
      <c r="C11" s="8" t="s">
        <v>22</v>
      </c>
      <c r="D11" s="9" t="s">
        <v>23</v>
      </c>
      <c r="E11" s="10" t="s">
        <v>46</v>
      </c>
      <c r="F11" s="10" t="s">
        <v>50</v>
      </c>
      <c r="G11" s="11" t="s">
        <v>51</v>
      </c>
      <c r="H11" s="12">
        <v>1</v>
      </c>
      <c r="I11" s="13">
        <f t="shared" si="1"/>
        <v>0</v>
      </c>
      <c r="J11" s="13">
        <f t="shared" si="1"/>
        <v>540</v>
      </c>
      <c r="K11" s="14">
        <v>1</v>
      </c>
      <c r="L11" s="15"/>
      <c r="M11" s="15">
        <f>K11*12*3.75*12</f>
        <v>540</v>
      </c>
      <c r="N11" s="16">
        <v>1</v>
      </c>
      <c r="O11" s="17"/>
      <c r="P11" s="17">
        <v>540</v>
      </c>
      <c r="Q11" s="18">
        <v>1</v>
      </c>
      <c r="R11" s="19"/>
      <c r="S11" s="19">
        <v>540</v>
      </c>
      <c r="T11" s="20">
        <v>1</v>
      </c>
      <c r="U11" s="21"/>
      <c r="V11" s="21">
        <v>540</v>
      </c>
      <c r="W11" t="s">
        <v>27</v>
      </c>
      <c r="X11" t="s">
        <v>49</v>
      </c>
    </row>
    <row r="12" spans="1:28">
      <c r="A12" s="7" t="s">
        <v>20</v>
      </c>
      <c r="B12" s="7" t="s">
        <v>21</v>
      </c>
      <c r="C12" s="8" t="s">
        <v>22</v>
      </c>
      <c r="D12" s="9" t="s">
        <v>23</v>
      </c>
      <c r="E12" s="10" t="s">
        <v>46</v>
      </c>
      <c r="F12" s="10" t="s">
        <v>52</v>
      </c>
      <c r="G12" s="11" t="s">
        <v>53</v>
      </c>
      <c r="H12" s="12">
        <v>1</v>
      </c>
      <c r="I12" s="13">
        <f t="shared" si="1"/>
        <v>0</v>
      </c>
      <c r="J12" s="13">
        <f t="shared" si="1"/>
        <v>2024.55</v>
      </c>
      <c r="K12" s="14">
        <v>1</v>
      </c>
      <c r="L12" s="15"/>
      <c r="M12" s="15">
        <f>K9*539.88*3.75</f>
        <v>2024.55</v>
      </c>
      <c r="N12" s="16">
        <v>1</v>
      </c>
      <c r="O12" s="17"/>
      <c r="P12" s="17">
        <v>2024.55</v>
      </c>
      <c r="Q12" s="18">
        <v>1</v>
      </c>
      <c r="R12" s="19"/>
      <c r="S12" s="19">
        <v>2024.55</v>
      </c>
      <c r="T12" s="20">
        <v>1</v>
      </c>
      <c r="U12" s="21"/>
      <c r="V12" s="21">
        <v>2024.55</v>
      </c>
      <c r="W12" t="s">
        <v>27</v>
      </c>
      <c r="X12" t="s">
        <v>49</v>
      </c>
    </row>
    <row r="13" spans="1:28">
      <c r="A13" s="7" t="s">
        <v>20</v>
      </c>
      <c r="B13" s="7" t="s">
        <v>21</v>
      </c>
      <c r="C13" s="8" t="s">
        <v>22</v>
      </c>
      <c r="D13" s="9" t="s">
        <v>23</v>
      </c>
      <c r="E13" s="10" t="s">
        <v>54</v>
      </c>
      <c r="F13" s="10" t="s">
        <v>55</v>
      </c>
      <c r="G13" s="11" t="s">
        <v>56</v>
      </c>
      <c r="H13" s="12">
        <v>5</v>
      </c>
      <c r="I13" s="13">
        <f t="shared" si="1"/>
        <v>0</v>
      </c>
      <c r="J13" s="13">
        <f t="shared" si="1"/>
        <v>495</v>
      </c>
      <c r="K13" s="14">
        <v>5</v>
      </c>
      <c r="L13" s="15"/>
      <c r="M13" s="15">
        <f>K13*99</f>
        <v>495</v>
      </c>
      <c r="N13" s="16">
        <v>5</v>
      </c>
      <c r="O13" s="17"/>
      <c r="P13" s="17">
        <f>N13*99</f>
        <v>495</v>
      </c>
      <c r="Q13" s="18">
        <v>5</v>
      </c>
      <c r="R13" s="19"/>
      <c r="S13" s="19">
        <v>459</v>
      </c>
      <c r="T13" s="20">
        <v>5</v>
      </c>
      <c r="U13" s="21"/>
      <c r="V13" s="21">
        <v>459</v>
      </c>
      <c r="W13" t="s">
        <v>27</v>
      </c>
      <c r="X13" t="s">
        <v>49</v>
      </c>
    </row>
    <row r="14" spans="1:28">
      <c r="A14" s="7" t="s">
        <v>20</v>
      </c>
      <c r="B14" s="7" t="s">
        <v>21</v>
      </c>
      <c r="C14" s="8" t="s">
        <v>57</v>
      </c>
      <c r="D14" s="9" t="s">
        <v>23</v>
      </c>
      <c r="E14" s="10" t="s">
        <v>58</v>
      </c>
      <c r="F14" s="10" t="s">
        <v>59</v>
      </c>
      <c r="G14" s="11" t="s">
        <v>56</v>
      </c>
      <c r="H14" s="12">
        <v>1</v>
      </c>
      <c r="I14" s="13">
        <f t="shared" si="1"/>
        <v>0</v>
      </c>
      <c r="J14" s="13">
        <f t="shared" si="1"/>
        <v>1008</v>
      </c>
      <c r="K14" s="14">
        <v>1</v>
      </c>
      <c r="L14" s="15"/>
      <c r="M14" s="15">
        <f>K14*84*12</f>
        <v>1008</v>
      </c>
      <c r="N14" s="16">
        <v>1</v>
      </c>
      <c r="O14" s="17"/>
      <c r="P14" s="17">
        <f>M14</f>
        <v>1008</v>
      </c>
      <c r="Q14" s="18">
        <v>1</v>
      </c>
      <c r="R14" s="19"/>
      <c r="S14" s="19">
        <v>1008</v>
      </c>
      <c r="T14" s="20">
        <v>1</v>
      </c>
      <c r="U14" s="21"/>
      <c r="V14" s="21">
        <v>1008</v>
      </c>
      <c r="W14" t="s">
        <v>27</v>
      </c>
      <c r="X14" t="s">
        <v>49</v>
      </c>
    </row>
    <row r="15" spans="1:28">
      <c r="A15" s="7" t="s">
        <v>20</v>
      </c>
      <c r="B15" s="7" t="s">
        <v>21</v>
      </c>
      <c r="C15" s="8" t="s">
        <v>60</v>
      </c>
      <c r="D15" s="9" t="s">
        <v>34</v>
      </c>
      <c r="E15" s="10" t="s">
        <v>61</v>
      </c>
      <c r="F15" s="10" t="s">
        <v>62</v>
      </c>
      <c r="G15" s="11" t="s">
        <v>63</v>
      </c>
      <c r="H15" s="13">
        <v>1</v>
      </c>
      <c r="I15" s="13">
        <f>12740</f>
        <v>12740</v>
      </c>
      <c r="J15" s="13">
        <f t="shared" si="1"/>
        <v>0</v>
      </c>
      <c r="K15" s="14">
        <v>10</v>
      </c>
      <c r="L15" s="15">
        <f>K15*'[1]Other BOM'!B15</f>
        <v>4500</v>
      </c>
      <c r="M15" s="27"/>
      <c r="N15" s="16">
        <v>10</v>
      </c>
      <c r="O15" s="17">
        <f>N15*'[1]Other BOM'!B15</f>
        <v>4500</v>
      </c>
      <c r="P15" s="17"/>
      <c r="Q15" s="18">
        <v>10</v>
      </c>
      <c r="R15" s="19">
        <f>Q15*'[1]Other BOM'!B15</f>
        <v>4500</v>
      </c>
      <c r="S15" s="19"/>
      <c r="T15" s="20">
        <v>10</v>
      </c>
      <c r="U15" s="21">
        <f>T15*'[1]Other BOM'!B15</f>
        <v>4500</v>
      </c>
      <c r="V15" s="21"/>
      <c r="W15" t="s">
        <v>27</v>
      </c>
    </row>
    <row r="16" spans="1:28">
      <c r="A16" s="7" t="s">
        <v>20</v>
      </c>
      <c r="B16" s="7" t="s">
        <v>21</v>
      </c>
      <c r="C16" s="8" t="s">
        <v>38</v>
      </c>
      <c r="D16" s="9" t="s">
        <v>34</v>
      </c>
      <c r="E16" s="10" t="s">
        <v>64</v>
      </c>
      <c r="F16" s="10" t="s">
        <v>65</v>
      </c>
      <c r="G16" s="11" t="s">
        <v>66</v>
      </c>
      <c r="H16" s="13">
        <v>1</v>
      </c>
      <c r="I16" s="13" t="e">
        <f>11000+#REF!+#REF!+#REF!</f>
        <v>#REF!</v>
      </c>
      <c r="J16" s="13">
        <f t="shared" si="1"/>
        <v>0</v>
      </c>
      <c r="K16" s="14">
        <f>162/3</f>
        <v>54</v>
      </c>
      <c r="L16" s="15">
        <f>K16*'[1]Other BOM'!B28</f>
        <v>189000</v>
      </c>
      <c r="M16" s="27"/>
      <c r="N16" s="16">
        <f>K16</f>
        <v>54</v>
      </c>
      <c r="O16" s="17">
        <f>N16*'[1]Other BOM'!B28</f>
        <v>189000</v>
      </c>
      <c r="P16" s="17"/>
      <c r="Q16" s="18">
        <f>K16</f>
        <v>54</v>
      </c>
      <c r="R16" s="19">
        <f>Q16*'[1]Other BOM'!B28</f>
        <v>189000</v>
      </c>
      <c r="S16" s="19"/>
      <c r="T16" s="20">
        <v>51</v>
      </c>
      <c r="U16" s="21">
        <f>T16*'[1]Other BOM'!B28</f>
        <v>178500</v>
      </c>
      <c r="V16" s="21"/>
      <c r="W16" t="s">
        <v>27</v>
      </c>
      <c r="AB16" t="s">
        <v>67</v>
      </c>
    </row>
    <row r="17" spans="1:28">
      <c r="A17" s="7" t="s">
        <v>20</v>
      </c>
      <c r="B17" s="7" t="s">
        <v>21</v>
      </c>
      <c r="C17" s="8" t="s">
        <v>38</v>
      </c>
      <c r="D17" s="9" t="s">
        <v>34</v>
      </c>
      <c r="E17" s="10" t="s">
        <v>64</v>
      </c>
      <c r="F17" s="10" t="s">
        <v>65</v>
      </c>
      <c r="G17" s="11" t="s">
        <v>68</v>
      </c>
      <c r="H17" s="13">
        <v>24</v>
      </c>
      <c r="I17" s="13">
        <v>109300</v>
      </c>
      <c r="J17" s="13">
        <f t="shared" si="1"/>
        <v>0</v>
      </c>
      <c r="K17" s="14">
        <v>36</v>
      </c>
      <c r="L17" s="15">
        <f>K17*'[1]Other BOM'!B28+14000</f>
        <v>140000</v>
      </c>
      <c r="M17" s="27"/>
      <c r="N17" s="16">
        <f>K17*1.1</f>
        <v>39.6</v>
      </c>
      <c r="O17" s="17">
        <f>N17*'[1]Other BOM'!B28</f>
        <v>138600</v>
      </c>
      <c r="P17" s="17"/>
      <c r="Q17" s="18">
        <f>N17*1.1</f>
        <v>43.56</v>
      </c>
      <c r="R17" s="19">
        <f>Q17*'[1]Other BOM'!B28</f>
        <v>152460</v>
      </c>
      <c r="S17" s="19"/>
      <c r="T17" s="20">
        <f>Q17*1.1</f>
        <v>47.916000000000004</v>
      </c>
      <c r="U17" s="21">
        <f>T17*'[1]Other BOM'!B28</f>
        <v>167706</v>
      </c>
      <c r="V17" s="21"/>
      <c r="W17" s="31" t="s">
        <v>69</v>
      </c>
      <c r="Z17" t="s">
        <v>70</v>
      </c>
      <c r="AB17">
        <v>3</v>
      </c>
    </row>
    <row r="18" spans="1:28">
      <c r="A18" s="7" t="s">
        <v>20</v>
      </c>
      <c r="B18" s="7" t="s">
        <v>21</v>
      </c>
      <c r="C18" s="8" t="s">
        <v>38</v>
      </c>
      <c r="D18" s="9" t="s">
        <v>34</v>
      </c>
      <c r="E18" s="10" t="s">
        <v>71</v>
      </c>
      <c r="F18" s="10" t="s">
        <v>40</v>
      </c>
      <c r="G18" s="11" t="s">
        <v>72</v>
      </c>
      <c r="H18" s="13"/>
      <c r="I18" s="13"/>
      <c r="J18" s="13"/>
      <c r="K18" s="14">
        <v>1</v>
      </c>
      <c r="L18" s="15">
        <v>3000</v>
      </c>
      <c r="M18" s="27"/>
      <c r="N18" s="16">
        <v>1</v>
      </c>
      <c r="O18" s="17">
        <v>3000</v>
      </c>
      <c r="P18" s="17"/>
      <c r="Q18" s="18">
        <v>1</v>
      </c>
      <c r="R18" s="19">
        <v>3000</v>
      </c>
      <c r="S18" s="19"/>
      <c r="T18" s="20">
        <v>1</v>
      </c>
      <c r="U18" s="21">
        <v>30000</v>
      </c>
      <c r="V18" s="21"/>
      <c r="W18" s="31" t="s">
        <v>27</v>
      </c>
    </row>
    <row r="19" spans="1:28">
      <c r="A19" s="22" t="s">
        <v>32</v>
      </c>
      <c r="B19" s="22" t="s">
        <v>33</v>
      </c>
      <c r="C19" s="8" t="s">
        <v>57</v>
      </c>
      <c r="D19" s="9" t="s">
        <v>34</v>
      </c>
      <c r="E19" s="10" t="s">
        <v>73</v>
      </c>
      <c r="F19" s="10" t="s">
        <v>36</v>
      </c>
      <c r="G19" s="23" t="s">
        <v>74</v>
      </c>
      <c r="H19" s="24"/>
      <c r="I19" s="24"/>
      <c r="J19" s="24"/>
      <c r="K19" s="25">
        <v>4</v>
      </c>
      <c r="L19" s="26">
        <f>(K19*'[1]Other BOM'!B2)</f>
        <v>140000</v>
      </c>
      <c r="M19" s="27"/>
      <c r="N19" s="16">
        <v>2</v>
      </c>
      <c r="O19" s="17">
        <f>(N19*'[1]Other BOM'!B2)</f>
        <v>70000</v>
      </c>
      <c r="P19" s="17"/>
      <c r="Q19" s="18">
        <v>2</v>
      </c>
      <c r="R19" s="19">
        <f>(Q19*'[1]Other BOM'!B2)</f>
        <v>70000</v>
      </c>
      <c r="S19" s="19"/>
      <c r="T19" s="20">
        <v>2</v>
      </c>
      <c r="U19" s="21">
        <f>T19*35000</f>
        <v>70000</v>
      </c>
      <c r="V19" s="21"/>
      <c r="W19" t="s">
        <v>27</v>
      </c>
      <c r="Y19" t="s">
        <v>75</v>
      </c>
      <c r="Z19" t="s">
        <v>76</v>
      </c>
      <c r="AB19">
        <v>2</v>
      </c>
    </row>
    <row r="20" spans="1:28">
      <c r="A20" s="7" t="s">
        <v>20</v>
      </c>
      <c r="B20" s="7" t="s">
        <v>21</v>
      </c>
      <c r="C20" s="8" t="s">
        <v>38</v>
      </c>
      <c r="D20" s="9" t="s">
        <v>34</v>
      </c>
      <c r="E20" s="10" t="s">
        <v>77</v>
      </c>
      <c r="F20" s="10" t="s">
        <v>78</v>
      </c>
      <c r="G20" s="11" t="s">
        <v>66</v>
      </c>
      <c r="H20" s="13">
        <v>0</v>
      </c>
      <c r="I20" s="13">
        <v>0</v>
      </c>
      <c r="J20" s="13">
        <f>M20</f>
        <v>0</v>
      </c>
      <c r="K20" s="14">
        <v>41</v>
      </c>
      <c r="L20" s="15">
        <f>K20*'[1]Other BOM'!B31</f>
        <v>28700</v>
      </c>
      <c r="M20" s="27"/>
      <c r="N20" s="16">
        <v>40</v>
      </c>
      <c r="O20" s="17">
        <f>N20*'[1]Other BOM'!B31</f>
        <v>28000</v>
      </c>
      <c r="P20" s="17"/>
      <c r="Q20" s="18">
        <v>40</v>
      </c>
      <c r="R20" s="19">
        <f>Q20*'[1]Other BOM'!B31</f>
        <v>28000</v>
      </c>
      <c r="S20" s="19"/>
      <c r="T20" s="20">
        <v>40</v>
      </c>
      <c r="U20" s="21">
        <f>T20*'[1]Other BOM'!B31</f>
        <v>28000</v>
      </c>
      <c r="V20" s="21"/>
      <c r="W20" t="s">
        <v>27</v>
      </c>
    </row>
    <row r="21" spans="1:28">
      <c r="A21" s="22" t="s">
        <v>32</v>
      </c>
      <c r="B21" s="22" t="s">
        <v>33</v>
      </c>
      <c r="C21" s="8" t="s">
        <v>57</v>
      </c>
      <c r="D21" s="9" t="s">
        <v>23</v>
      </c>
      <c r="E21" s="10" t="s">
        <v>79</v>
      </c>
      <c r="F21" s="10" t="s">
        <v>80</v>
      </c>
      <c r="G21" s="32" t="s">
        <v>81</v>
      </c>
      <c r="H21" s="33"/>
      <c r="I21" s="33"/>
      <c r="J21" s="33"/>
      <c r="K21" s="34">
        <v>2</v>
      </c>
      <c r="L21" s="35"/>
      <c r="M21" s="35">
        <f>'[1]Other BOM'!B67</f>
        <v>79648</v>
      </c>
      <c r="N21" s="16"/>
      <c r="O21" s="17"/>
      <c r="P21" s="17">
        <f>M21</f>
        <v>79648</v>
      </c>
      <c r="Q21" s="18"/>
      <c r="R21" s="19"/>
      <c r="S21" s="19">
        <f>M21</f>
        <v>79648</v>
      </c>
      <c r="T21" s="20"/>
      <c r="U21" s="21"/>
      <c r="V21" s="21">
        <f>M21</f>
        <v>79648</v>
      </c>
      <c r="W21" t="s">
        <v>27</v>
      </c>
      <c r="X21" t="s">
        <v>82</v>
      </c>
      <c r="Z21" t="s">
        <v>83</v>
      </c>
      <c r="AB21">
        <v>9</v>
      </c>
    </row>
    <row r="22" spans="1:28">
      <c r="A22" s="7" t="s">
        <v>20</v>
      </c>
      <c r="B22" s="7" t="s">
        <v>21</v>
      </c>
      <c r="C22" s="8" t="s">
        <v>38</v>
      </c>
      <c r="D22" s="9" t="s">
        <v>34</v>
      </c>
      <c r="E22" s="10" t="s">
        <v>77</v>
      </c>
      <c r="F22" s="10" t="s">
        <v>78</v>
      </c>
      <c r="G22" s="11" t="s">
        <v>84</v>
      </c>
      <c r="H22" s="13">
        <v>1</v>
      </c>
      <c r="I22" s="13">
        <v>625</v>
      </c>
      <c r="J22" s="13">
        <f>M22</f>
        <v>0</v>
      </c>
      <c r="K22" s="14">
        <f>K15</f>
        <v>10</v>
      </c>
      <c r="L22" s="15">
        <f>K22*'[1]Other BOM'!B31</f>
        <v>7000</v>
      </c>
      <c r="M22" s="27"/>
      <c r="N22" s="16">
        <f>N15</f>
        <v>10</v>
      </c>
      <c r="O22" s="17">
        <f>N22*'[1]Other BOM'!B31</f>
        <v>7000</v>
      </c>
      <c r="P22" s="17"/>
      <c r="Q22" s="18">
        <f>Q15</f>
        <v>10</v>
      </c>
      <c r="R22" s="19">
        <f>Q22*'[1]Other BOM'!B31</f>
        <v>7000</v>
      </c>
      <c r="S22" s="19"/>
      <c r="T22" s="20">
        <f>T15</f>
        <v>10</v>
      </c>
      <c r="U22" s="21">
        <f>T22*'[1]Other BOM'!B31</f>
        <v>7000</v>
      </c>
      <c r="V22" s="21"/>
      <c r="W22" t="s">
        <v>27</v>
      </c>
      <c r="Z22" t="s">
        <v>70</v>
      </c>
      <c r="AB22">
        <v>1</v>
      </c>
    </row>
    <row r="23" spans="1:28">
      <c r="A23" s="7" t="s">
        <v>20</v>
      </c>
      <c r="B23" s="7" t="s">
        <v>21</v>
      </c>
      <c r="C23" s="8" t="s">
        <v>38</v>
      </c>
      <c r="D23" s="9" t="s">
        <v>34</v>
      </c>
      <c r="E23" s="10" t="s">
        <v>85</v>
      </c>
      <c r="F23" s="10" t="s">
        <v>86</v>
      </c>
      <c r="G23" s="11" t="s">
        <v>87</v>
      </c>
      <c r="H23" s="13">
        <v>0</v>
      </c>
      <c r="I23" s="13">
        <v>0</v>
      </c>
      <c r="J23" s="13">
        <f>M23</f>
        <v>0</v>
      </c>
      <c r="K23" s="14">
        <v>1</v>
      </c>
      <c r="L23" s="15">
        <f>K23*'[1]Other BOM'!B59</f>
        <v>5625</v>
      </c>
      <c r="M23" s="27"/>
      <c r="N23" s="16"/>
      <c r="O23" s="17"/>
      <c r="P23" s="17"/>
      <c r="Q23" s="18"/>
      <c r="R23" s="19"/>
      <c r="S23" s="19"/>
      <c r="T23" s="20"/>
      <c r="U23" s="21"/>
      <c r="V23" s="21"/>
      <c r="W23" t="s">
        <v>27</v>
      </c>
    </row>
    <row r="24" spans="1:28">
      <c r="A24" s="22" t="s">
        <v>32</v>
      </c>
      <c r="B24" s="22" t="s">
        <v>33</v>
      </c>
      <c r="C24" s="8" t="s">
        <v>88</v>
      </c>
      <c r="D24" s="9" t="s">
        <v>34</v>
      </c>
      <c r="E24" s="10" t="s">
        <v>89</v>
      </c>
      <c r="F24" s="10" t="s">
        <v>90</v>
      </c>
      <c r="G24" s="23" t="s">
        <v>91</v>
      </c>
      <c r="H24" s="24"/>
      <c r="I24" s="24"/>
      <c r="J24" s="24"/>
      <c r="K24" s="25">
        <v>2</v>
      </c>
      <c r="L24" s="26">
        <f>K24*35000</f>
        <v>70000</v>
      </c>
      <c r="M24" s="27"/>
      <c r="N24" s="16">
        <v>2</v>
      </c>
      <c r="O24" s="17">
        <f>N24*35000</f>
        <v>70000</v>
      </c>
      <c r="P24" s="17">
        <v>0</v>
      </c>
      <c r="Q24" s="18">
        <v>2</v>
      </c>
      <c r="R24" s="19">
        <f>Q24*35000</f>
        <v>70000</v>
      </c>
      <c r="S24" s="19">
        <v>0</v>
      </c>
      <c r="T24" s="20">
        <v>1</v>
      </c>
      <c r="U24" s="21">
        <f>T24*35000</f>
        <v>35000</v>
      </c>
      <c r="V24" s="21">
        <v>0</v>
      </c>
      <c r="W24" t="s">
        <v>27</v>
      </c>
      <c r="Z24" t="s">
        <v>92</v>
      </c>
      <c r="AB24">
        <v>1</v>
      </c>
    </row>
    <row r="25" spans="1:28">
      <c r="A25" s="7" t="s">
        <v>20</v>
      </c>
      <c r="B25" s="7" t="s">
        <v>21</v>
      </c>
      <c r="C25" s="8" t="s">
        <v>60</v>
      </c>
      <c r="D25" s="9" t="s">
        <v>93</v>
      </c>
      <c r="E25" s="36" t="s">
        <v>94</v>
      </c>
      <c r="F25" s="10" t="s">
        <v>95</v>
      </c>
      <c r="G25" s="32" t="s">
        <v>72</v>
      </c>
      <c r="H25" s="33"/>
      <c r="I25" s="33"/>
      <c r="J25" s="33"/>
      <c r="K25" s="34">
        <v>1</v>
      </c>
      <c r="L25" s="35"/>
      <c r="M25" s="35">
        <f>K25*'[1]Other BOM'!B14</f>
        <v>50000</v>
      </c>
      <c r="N25" s="16">
        <v>1</v>
      </c>
      <c r="O25" s="17"/>
      <c r="P25" s="17">
        <f>'[1]Other BOM'!B14</f>
        <v>50000</v>
      </c>
      <c r="Q25" s="18">
        <v>1</v>
      </c>
      <c r="R25" s="19"/>
      <c r="S25" s="19">
        <f>'[1]Other BOM'!B14</f>
        <v>50000</v>
      </c>
      <c r="T25" s="20">
        <v>1</v>
      </c>
      <c r="U25" s="21"/>
      <c r="V25" s="21">
        <f>'[1]Other BOM'!B14</f>
        <v>50000</v>
      </c>
      <c r="W25" t="s">
        <v>27</v>
      </c>
      <c r="X25" t="s">
        <v>82</v>
      </c>
    </row>
    <row r="26" spans="1:28">
      <c r="A26" s="22" t="s">
        <v>32</v>
      </c>
      <c r="B26" s="22" t="s">
        <v>33</v>
      </c>
      <c r="C26" s="8" t="s">
        <v>57</v>
      </c>
      <c r="D26" s="9" t="s">
        <v>34</v>
      </c>
      <c r="E26" s="10" t="s">
        <v>96</v>
      </c>
      <c r="F26" s="10" t="s">
        <v>40</v>
      </c>
      <c r="G26" s="23" t="s">
        <v>97</v>
      </c>
      <c r="H26" s="24"/>
      <c r="I26" s="24"/>
      <c r="J26" s="24"/>
      <c r="K26" s="25">
        <v>1</v>
      </c>
      <c r="L26" s="26">
        <f>30000+70000</f>
        <v>100000</v>
      </c>
      <c r="M26" s="27"/>
      <c r="N26" s="16"/>
      <c r="O26" s="17"/>
      <c r="P26" s="17"/>
      <c r="Q26" s="18"/>
      <c r="R26" s="19"/>
      <c r="S26" s="19"/>
      <c r="T26" s="20"/>
      <c r="U26" s="21"/>
      <c r="V26" s="21"/>
      <c r="W26" t="s">
        <v>27</v>
      </c>
    </row>
    <row r="27" spans="1:28">
      <c r="A27" s="37" t="s">
        <v>98</v>
      </c>
      <c r="B27" s="37" t="s">
        <v>99</v>
      </c>
      <c r="C27" s="8" t="s">
        <v>60</v>
      </c>
      <c r="D27" s="9" t="s">
        <v>23</v>
      </c>
      <c r="E27" s="37" t="s">
        <v>100</v>
      </c>
      <c r="F27" s="37" t="s">
        <v>101</v>
      </c>
      <c r="G27" s="9" t="s">
        <v>102</v>
      </c>
      <c r="H27" s="28"/>
      <c r="I27" s="28"/>
      <c r="J27" s="28"/>
      <c r="K27" s="29">
        <v>1</v>
      </c>
      <c r="L27" s="38"/>
      <c r="M27" s="38">
        <f>3.75*150000*0.5</f>
        <v>281250</v>
      </c>
      <c r="N27" s="16"/>
      <c r="O27" s="17"/>
      <c r="P27" s="17">
        <f>3.75*150000</f>
        <v>562500</v>
      </c>
      <c r="Q27" s="18"/>
      <c r="R27" s="19"/>
      <c r="S27" s="19">
        <v>562500</v>
      </c>
      <c r="T27" s="20"/>
      <c r="U27" s="21"/>
      <c r="V27" s="21">
        <v>562500</v>
      </c>
    </row>
    <row r="28" spans="1:28">
      <c r="A28" s="37" t="s">
        <v>98</v>
      </c>
      <c r="B28" s="37" t="s">
        <v>99</v>
      </c>
      <c r="C28" s="8" t="s">
        <v>60</v>
      </c>
      <c r="D28" s="9" t="s">
        <v>23</v>
      </c>
      <c r="E28" s="37" t="s">
        <v>103</v>
      </c>
      <c r="F28" s="37" t="s">
        <v>40</v>
      </c>
      <c r="G28" s="9" t="s">
        <v>104</v>
      </c>
      <c r="H28" s="28"/>
      <c r="I28" s="28"/>
      <c r="J28" s="28"/>
      <c r="K28" s="29">
        <v>1</v>
      </c>
      <c r="L28" s="38"/>
      <c r="M28" s="38">
        <f>3.75*75000*0.5</f>
        <v>140625</v>
      </c>
      <c r="N28" s="16"/>
      <c r="O28" s="17"/>
      <c r="P28" s="17">
        <f>3.75*75000</f>
        <v>281250</v>
      </c>
      <c r="Q28" s="18"/>
      <c r="R28" s="19"/>
      <c r="S28" s="19">
        <v>281250</v>
      </c>
      <c r="T28" s="20"/>
      <c r="U28" s="21"/>
      <c r="V28" s="21">
        <v>281250</v>
      </c>
    </row>
    <row r="29" spans="1:28">
      <c r="A29" s="37" t="s">
        <v>98</v>
      </c>
      <c r="B29" s="37" t="s">
        <v>99</v>
      </c>
      <c r="C29" s="8" t="s">
        <v>60</v>
      </c>
      <c r="D29" s="9" t="s">
        <v>105</v>
      </c>
      <c r="E29" s="37" t="s">
        <v>106</v>
      </c>
      <c r="F29" s="37" t="s">
        <v>101</v>
      </c>
      <c r="G29" s="9" t="s">
        <v>107</v>
      </c>
      <c r="H29" s="28"/>
      <c r="I29" s="28"/>
      <c r="J29" s="28"/>
      <c r="K29" s="29">
        <v>1</v>
      </c>
      <c r="L29" s="38">
        <f>1200000*0.3*3.75</f>
        <v>1350000</v>
      </c>
      <c r="M29" s="38"/>
      <c r="N29" s="16"/>
      <c r="O29" s="17">
        <f>1200000*0.3*3.75</f>
        <v>1350000</v>
      </c>
      <c r="P29" s="17"/>
      <c r="Q29" s="18"/>
      <c r="R29" s="19">
        <f>1200000*0.3*3.75</f>
        <v>1350000</v>
      </c>
      <c r="S29" s="19"/>
      <c r="T29" s="20"/>
      <c r="U29" s="21">
        <f>1200000*0.1*3.75</f>
        <v>450000</v>
      </c>
      <c r="V29" s="21"/>
    </row>
    <row r="30" spans="1:28">
      <c r="A30" s="37" t="s">
        <v>98</v>
      </c>
      <c r="B30" s="37" t="s">
        <v>99</v>
      </c>
      <c r="C30" s="8" t="s">
        <v>60</v>
      </c>
      <c r="D30" s="9" t="s">
        <v>105</v>
      </c>
      <c r="E30" s="37" t="s">
        <v>108</v>
      </c>
      <c r="F30" s="37" t="s">
        <v>40</v>
      </c>
      <c r="G30" s="9" t="s">
        <v>109</v>
      </c>
      <c r="H30" s="28"/>
      <c r="I30" s="28"/>
      <c r="J30" s="28"/>
      <c r="K30" s="29">
        <v>1</v>
      </c>
      <c r="L30" s="39">
        <f>(750000+250000)*0.5</f>
        <v>500000</v>
      </c>
      <c r="M30" s="39"/>
      <c r="N30" s="16"/>
      <c r="O30" s="17">
        <f>L30</f>
        <v>500000</v>
      </c>
      <c r="P30" s="17"/>
      <c r="Q30" s="18"/>
      <c r="R30" s="19"/>
      <c r="S30" s="19"/>
      <c r="T30" s="20"/>
      <c r="U30" s="21"/>
      <c r="V30" s="21"/>
    </row>
    <row r="31" spans="1:28">
      <c r="A31" s="37" t="s">
        <v>98</v>
      </c>
      <c r="B31" s="37" t="s">
        <v>99</v>
      </c>
      <c r="C31" s="8" t="s">
        <v>60</v>
      </c>
      <c r="D31" s="9" t="s">
        <v>93</v>
      </c>
      <c r="E31" s="37" t="s">
        <v>108</v>
      </c>
      <c r="F31" s="37" t="s">
        <v>40</v>
      </c>
      <c r="G31" s="40" t="s">
        <v>110</v>
      </c>
      <c r="H31" s="28"/>
      <c r="I31" s="28"/>
      <c r="J31" s="28"/>
      <c r="K31" s="29">
        <v>1</v>
      </c>
      <c r="L31" s="39"/>
      <c r="M31" s="39"/>
      <c r="N31" s="16"/>
      <c r="O31" s="17"/>
      <c r="P31" s="17">
        <f>L30*0.1</f>
        <v>50000</v>
      </c>
      <c r="Q31" s="18"/>
      <c r="R31" s="19"/>
      <c r="S31" s="19">
        <f>P31*2</f>
        <v>100000</v>
      </c>
      <c r="T31" s="20"/>
      <c r="U31" s="21"/>
      <c r="V31" s="21">
        <f>S31</f>
        <v>100000</v>
      </c>
    </row>
    <row r="32" spans="1:28">
      <c r="A32" s="37" t="s">
        <v>98</v>
      </c>
      <c r="B32" s="37" t="s">
        <v>99</v>
      </c>
      <c r="C32" s="8" t="s">
        <v>60</v>
      </c>
      <c r="D32" s="9" t="s">
        <v>34</v>
      </c>
      <c r="E32" s="37" t="s">
        <v>108</v>
      </c>
      <c r="F32" s="37" t="s">
        <v>40</v>
      </c>
      <c r="G32" s="9" t="s">
        <v>111</v>
      </c>
      <c r="H32" s="28"/>
      <c r="I32" s="28"/>
      <c r="J32" s="28"/>
      <c r="K32" s="29">
        <v>1</v>
      </c>
      <c r="L32" s="38">
        <f>(10*3000)*3.75</f>
        <v>112500</v>
      </c>
      <c r="M32" s="38"/>
      <c r="N32" s="16"/>
      <c r="O32" s="17">
        <f>(20*3000)*3.75</f>
        <v>225000</v>
      </c>
      <c r="P32" s="17"/>
      <c r="Q32" s="18"/>
      <c r="R32" s="19"/>
      <c r="S32" s="19"/>
      <c r="T32" s="20"/>
      <c r="U32" s="21"/>
      <c r="V32" s="21"/>
    </row>
    <row r="33" spans="1:26">
      <c r="A33" s="37" t="s">
        <v>98</v>
      </c>
      <c r="B33" s="37" t="s">
        <v>99</v>
      </c>
      <c r="C33" s="8" t="s">
        <v>60</v>
      </c>
      <c r="D33" s="9" t="s">
        <v>93</v>
      </c>
      <c r="E33" s="37" t="s">
        <v>108</v>
      </c>
      <c r="F33" s="37" t="s">
        <v>40</v>
      </c>
      <c r="G33" s="40" t="s">
        <v>110</v>
      </c>
      <c r="H33" s="28"/>
      <c r="I33" s="28"/>
      <c r="J33" s="28"/>
      <c r="K33" s="29">
        <v>1</v>
      </c>
      <c r="L33" s="38"/>
      <c r="M33" s="38"/>
      <c r="N33" s="16"/>
      <c r="O33" s="17"/>
      <c r="P33" s="17">
        <f>L32*0.15</f>
        <v>16875</v>
      </c>
      <c r="Q33" s="18"/>
      <c r="R33" s="19"/>
      <c r="S33" s="19">
        <f>L32*0.15+O32*0.15</f>
        <v>50625</v>
      </c>
      <c r="T33" s="20"/>
      <c r="U33" s="21"/>
      <c r="V33" s="21">
        <f>L32*0.15+O32*0.15+R32*0.15</f>
        <v>50625</v>
      </c>
    </row>
    <row r="34" spans="1:26">
      <c r="A34" s="37" t="s">
        <v>98</v>
      </c>
      <c r="B34" s="37" t="s">
        <v>99</v>
      </c>
      <c r="C34" s="8" t="s">
        <v>60</v>
      </c>
      <c r="D34" s="9" t="s">
        <v>34</v>
      </c>
      <c r="E34" s="37" t="s">
        <v>112</v>
      </c>
      <c r="F34" s="37" t="s">
        <v>113</v>
      </c>
      <c r="G34" s="9" t="s">
        <v>114</v>
      </c>
      <c r="H34" s="28"/>
      <c r="I34" s="28"/>
      <c r="J34" s="28"/>
      <c r="K34" s="29"/>
      <c r="L34" s="27"/>
      <c r="M34" s="27"/>
      <c r="N34" s="16">
        <v>10</v>
      </c>
      <c r="O34" s="17">
        <f>N34*'[1]Other BOM'!B6</f>
        <v>15000</v>
      </c>
      <c r="P34" s="17"/>
      <c r="Q34" s="18">
        <v>10</v>
      </c>
      <c r="R34" s="19">
        <f>Q34*'[1]Other BOM'!B6</f>
        <v>15000</v>
      </c>
      <c r="S34" s="19"/>
      <c r="T34" s="20">
        <v>10</v>
      </c>
      <c r="U34" s="21">
        <f>T34*'[1]Other BOM'!B6</f>
        <v>15000</v>
      </c>
      <c r="V34" s="21"/>
    </row>
    <row r="35" spans="1:26">
      <c r="A35" s="37" t="s">
        <v>98</v>
      </c>
      <c r="B35" s="37" t="s">
        <v>99</v>
      </c>
      <c r="C35" s="8" t="s">
        <v>60</v>
      </c>
      <c r="D35" s="9" t="s">
        <v>34</v>
      </c>
      <c r="E35" s="37" t="s">
        <v>115</v>
      </c>
      <c r="F35" s="37" t="s">
        <v>62</v>
      </c>
      <c r="G35" s="9" t="s">
        <v>116</v>
      </c>
      <c r="H35" s="28"/>
      <c r="I35" s="28"/>
      <c r="J35" s="28"/>
      <c r="K35" s="29">
        <f>13+66+K34</f>
        <v>79</v>
      </c>
      <c r="L35" s="27">
        <f>'[1]Other BOM'!B10*K35</f>
        <v>31600</v>
      </c>
      <c r="M35" s="27"/>
      <c r="N35" s="16">
        <f>K35*20%</f>
        <v>15.8</v>
      </c>
      <c r="O35" s="17">
        <f>N35*'[1]Other BOM'!B10</f>
        <v>6320</v>
      </c>
      <c r="P35" s="17"/>
      <c r="Q35" s="18">
        <f>K35*20%</f>
        <v>15.8</v>
      </c>
      <c r="R35" s="19">
        <f>Q35*'[1]Other BOM'!B10</f>
        <v>6320</v>
      </c>
      <c r="S35" s="19"/>
      <c r="T35" s="20">
        <f>K35*20%</f>
        <v>15.8</v>
      </c>
      <c r="U35" s="21">
        <f>T35*'[1]Other BOM'!B10</f>
        <v>6320</v>
      </c>
      <c r="V35" s="21"/>
    </row>
    <row r="36" spans="1:26">
      <c r="A36" s="37" t="s">
        <v>98</v>
      </c>
      <c r="B36" s="37" t="s">
        <v>99</v>
      </c>
      <c r="C36" s="8" t="s">
        <v>60</v>
      </c>
      <c r="D36" s="9" t="s">
        <v>34</v>
      </c>
      <c r="E36" s="37" t="s">
        <v>117</v>
      </c>
      <c r="F36" s="37" t="s">
        <v>36</v>
      </c>
      <c r="G36" s="9" t="s">
        <v>116</v>
      </c>
      <c r="H36" s="28"/>
      <c r="I36" s="28"/>
      <c r="J36" s="28"/>
      <c r="K36" s="29">
        <f>K35/16</f>
        <v>4.9375</v>
      </c>
      <c r="L36" s="27">
        <f>K36*'[1]Other BOM'!B11</f>
        <v>49375</v>
      </c>
      <c r="M36" s="27"/>
      <c r="N36" s="16">
        <v>3</v>
      </c>
      <c r="O36" s="17">
        <f>N36*'[1]Other BOM'!B11</f>
        <v>30000</v>
      </c>
      <c r="P36" s="17"/>
      <c r="Q36" s="18">
        <v>3</v>
      </c>
      <c r="R36" s="19">
        <f>Q36*'[1]Other BOM'!B11</f>
        <v>30000</v>
      </c>
      <c r="S36" s="19"/>
      <c r="T36" s="20">
        <v>3</v>
      </c>
      <c r="U36" s="21">
        <f>T36*'[1]Other BOM'!B11</f>
        <v>30000</v>
      </c>
      <c r="V36" s="21"/>
    </row>
    <row r="37" spans="1:26">
      <c r="A37" s="37" t="s">
        <v>98</v>
      </c>
      <c r="B37" s="37" t="s">
        <v>99</v>
      </c>
      <c r="C37" s="8" t="s">
        <v>60</v>
      </c>
      <c r="D37" s="9" t="s">
        <v>34</v>
      </c>
      <c r="E37" s="37" t="s">
        <v>118</v>
      </c>
      <c r="F37" s="37" t="s">
        <v>40</v>
      </c>
      <c r="G37" s="9" t="s">
        <v>119</v>
      </c>
      <c r="H37" s="28"/>
      <c r="I37" s="28"/>
      <c r="J37" s="28"/>
      <c r="K37" s="29">
        <v>4</v>
      </c>
      <c r="L37" s="27">
        <f>K37*'[1]Other BOM'!B12</f>
        <v>6000</v>
      </c>
      <c r="M37" s="27"/>
      <c r="N37" s="16">
        <v>2</v>
      </c>
      <c r="O37" s="17">
        <f>N37*'[1]Other BOM'!B12</f>
        <v>3000</v>
      </c>
      <c r="P37" s="17"/>
      <c r="Q37" s="18">
        <v>2</v>
      </c>
      <c r="R37" s="19">
        <f>Q37*'[1]Other BOM'!B12</f>
        <v>3000</v>
      </c>
      <c r="S37" s="19"/>
      <c r="T37" s="20">
        <v>2</v>
      </c>
      <c r="U37" s="21">
        <f>T37*'[1]Other BOM'!B12</f>
        <v>3000</v>
      </c>
      <c r="V37" s="21"/>
    </row>
    <row r="38" spans="1:26">
      <c r="A38" s="37" t="s">
        <v>98</v>
      </c>
      <c r="B38" s="37" t="s">
        <v>99</v>
      </c>
      <c r="C38" s="8" t="s">
        <v>60</v>
      </c>
      <c r="D38" s="9" t="s">
        <v>120</v>
      </c>
      <c r="E38" s="37" t="s">
        <v>121</v>
      </c>
      <c r="F38" s="37" t="s">
        <v>122</v>
      </c>
      <c r="G38" s="41" t="s">
        <v>123</v>
      </c>
      <c r="H38" s="42"/>
      <c r="I38" s="42"/>
      <c r="J38" s="42"/>
      <c r="K38" s="43">
        <v>1</v>
      </c>
      <c r="L38" s="44"/>
      <c r="M38" s="44">
        <f>K38*10500*12*1.75*(6/12)</f>
        <v>110250</v>
      </c>
      <c r="N38" s="16"/>
      <c r="O38" s="17"/>
      <c r="P38" s="17">
        <f>M38*2*(1+3/100)</f>
        <v>227115</v>
      </c>
      <c r="Q38" s="18"/>
      <c r="R38" s="19"/>
      <c r="S38" s="19">
        <f>P38*(1+3/100)</f>
        <v>233928.45</v>
      </c>
      <c r="T38" s="20"/>
      <c r="U38" s="21"/>
      <c r="V38" s="21">
        <f>S38*(1+3/100)</f>
        <v>240946.30350000001</v>
      </c>
    </row>
    <row r="39" spans="1:26">
      <c r="A39" s="37" t="s">
        <v>98</v>
      </c>
      <c r="B39" s="37" t="s">
        <v>99</v>
      </c>
      <c r="C39" s="8" t="s">
        <v>124</v>
      </c>
      <c r="D39" s="9" t="s">
        <v>120</v>
      </c>
      <c r="E39" s="37" t="s">
        <v>125</v>
      </c>
      <c r="F39" s="37" t="s">
        <v>122</v>
      </c>
      <c r="G39" s="9" t="s">
        <v>126</v>
      </c>
      <c r="H39" s="28"/>
      <c r="I39" s="28"/>
      <c r="J39" s="28"/>
      <c r="K39" s="29">
        <v>1</v>
      </c>
      <c r="L39" s="38"/>
      <c r="M39" s="27">
        <f>K39*26000*12*1.75*(6/12)</f>
        <v>273000</v>
      </c>
      <c r="N39" s="16"/>
      <c r="O39" s="17"/>
      <c r="P39" s="17">
        <f>M39*2*(1+3/100)</f>
        <v>562380</v>
      </c>
      <c r="Q39" s="18"/>
      <c r="R39" s="19"/>
      <c r="S39" s="19">
        <f>P39*(1+3/100)</f>
        <v>579251.4</v>
      </c>
      <c r="T39" s="20"/>
      <c r="U39" s="21"/>
      <c r="V39" s="21">
        <f>S39*(1+3/100)</f>
        <v>596628.94200000004</v>
      </c>
    </row>
    <row r="40" spans="1:26">
      <c r="A40" s="7" t="s">
        <v>20</v>
      </c>
      <c r="B40" s="7" t="s">
        <v>21</v>
      </c>
      <c r="C40" s="8" t="s">
        <v>127</v>
      </c>
      <c r="D40" s="9" t="s">
        <v>23</v>
      </c>
      <c r="E40" s="10" t="s">
        <v>128</v>
      </c>
      <c r="F40" s="10" t="s">
        <v>129</v>
      </c>
      <c r="G40" s="11" t="s">
        <v>130</v>
      </c>
      <c r="H40" s="13">
        <v>35</v>
      </c>
      <c r="I40" s="13">
        <f>L40</f>
        <v>0</v>
      </c>
      <c r="J40" s="13">
        <f>M40</f>
        <v>255225</v>
      </c>
      <c r="K40" s="14">
        <v>41</v>
      </c>
      <c r="L40" s="15"/>
      <c r="M40" s="15">
        <f>K40*'[1]Other BOM'!B47</f>
        <v>255225</v>
      </c>
      <c r="N40" s="16">
        <f>K40</f>
        <v>41</v>
      </c>
      <c r="O40" s="17"/>
      <c r="P40" s="17">
        <f>N40*'[1]Other BOM'!B47</f>
        <v>255225</v>
      </c>
      <c r="Q40" s="18">
        <f>K40</f>
        <v>41</v>
      </c>
      <c r="R40" s="19"/>
      <c r="S40" s="19">
        <f>Q40*'[1]Other BOM'!B47</f>
        <v>255225</v>
      </c>
      <c r="T40" s="20">
        <f>K40</f>
        <v>41</v>
      </c>
      <c r="U40" s="21"/>
      <c r="V40" s="21">
        <f>T40*'[1]Other BOM'!B47</f>
        <v>255225</v>
      </c>
      <c r="W40" t="s">
        <v>27</v>
      </c>
      <c r="X40" t="s">
        <v>27</v>
      </c>
    </row>
    <row r="41" spans="1:26">
      <c r="A41" s="22" t="s">
        <v>32</v>
      </c>
      <c r="B41" s="22" t="s">
        <v>33</v>
      </c>
      <c r="C41" s="8" t="s">
        <v>38</v>
      </c>
      <c r="D41" s="9" t="s">
        <v>23</v>
      </c>
      <c r="E41" s="36" t="s">
        <v>131</v>
      </c>
      <c r="F41" s="10" t="s">
        <v>132</v>
      </c>
      <c r="G41" s="32" t="s">
        <v>133</v>
      </c>
      <c r="H41" s="33"/>
      <c r="I41" s="33"/>
      <c r="J41" s="33"/>
      <c r="K41" s="34">
        <v>96</v>
      </c>
      <c r="L41" s="35"/>
      <c r="M41" s="35">
        <f>28000*6</f>
        <v>168000</v>
      </c>
      <c r="N41" s="16">
        <f>K41-(K41*20%)</f>
        <v>76.8</v>
      </c>
      <c r="O41" s="17"/>
      <c r="P41" s="17">
        <f>M41*2</f>
        <v>336000</v>
      </c>
      <c r="Q41" s="18">
        <f>N41-(N41*20%)</f>
        <v>61.44</v>
      </c>
      <c r="R41" s="19"/>
      <c r="S41" s="19">
        <f>P41</f>
        <v>336000</v>
      </c>
      <c r="T41" s="20">
        <f>Q41-(Q41*20%)</f>
        <v>49.152000000000001</v>
      </c>
      <c r="U41" s="21"/>
      <c r="V41" s="21">
        <f>P41</f>
        <v>336000</v>
      </c>
      <c r="W41" t="s">
        <v>27</v>
      </c>
      <c r="X41" t="s">
        <v>82</v>
      </c>
    </row>
    <row r="42" spans="1:26">
      <c r="A42" s="7" t="s">
        <v>20</v>
      </c>
      <c r="B42" s="7" t="s">
        <v>21</v>
      </c>
      <c r="C42" s="8" t="s">
        <v>127</v>
      </c>
      <c r="D42" s="9" t="s">
        <v>23</v>
      </c>
      <c r="E42" s="10" t="s">
        <v>134</v>
      </c>
      <c r="F42" s="10" t="s">
        <v>135</v>
      </c>
      <c r="G42" s="11" t="s">
        <v>136</v>
      </c>
      <c r="H42" s="13">
        <v>3</v>
      </c>
      <c r="I42" s="13">
        <f t="shared" ref="I42:J44" si="2">L42</f>
        <v>0</v>
      </c>
      <c r="J42" s="13">
        <f t="shared" si="2"/>
        <v>90000</v>
      </c>
      <c r="K42" s="14">
        <v>3</v>
      </c>
      <c r="L42" s="15"/>
      <c r="M42" s="15">
        <f>K42*'[1]Other BOM'!B64</f>
        <v>90000</v>
      </c>
      <c r="N42" s="16">
        <f>K42</f>
        <v>3</v>
      </c>
      <c r="O42" s="17"/>
      <c r="P42" s="17">
        <f>K42*'[1]Other BOM'!B64</f>
        <v>90000</v>
      </c>
      <c r="Q42" s="18">
        <v>3</v>
      </c>
      <c r="R42" s="19"/>
      <c r="S42" s="19">
        <f>K42*'[1]Other BOM'!B64</f>
        <v>90000</v>
      </c>
      <c r="T42" s="20">
        <v>3</v>
      </c>
      <c r="U42" s="21"/>
      <c r="V42" s="21">
        <f>K42*'[1]Other BOM'!B64</f>
        <v>90000</v>
      </c>
      <c r="W42" t="s">
        <v>27</v>
      </c>
      <c r="X42" t="s">
        <v>27</v>
      </c>
    </row>
    <row r="43" spans="1:26">
      <c r="A43" s="7" t="s">
        <v>20</v>
      </c>
      <c r="B43" s="7" t="s">
        <v>21</v>
      </c>
      <c r="C43" s="8" t="s">
        <v>38</v>
      </c>
      <c r="D43" s="9" t="s">
        <v>23</v>
      </c>
      <c r="E43" s="10" t="s">
        <v>137</v>
      </c>
      <c r="F43" s="10" t="s">
        <v>138</v>
      </c>
      <c r="G43" s="45" t="s">
        <v>139</v>
      </c>
      <c r="H43" s="33">
        <v>300</v>
      </c>
      <c r="I43" s="33">
        <f t="shared" si="2"/>
        <v>0</v>
      </c>
      <c r="J43" s="33">
        <f t="shared" si="2"/>
        <v>67200</v>
      </c>
      <c r="K43" s="34">
        <v>300</v>
      </c>
      <c r="L43" s="35"/>
      <c r="M43" s="46">
        <f>K43*'[1]Other BOM'!B22</f>
        <v>67200</v>
      </c>
      <c r="N43" s="16">
        <f>K43</f>
        <v>300</v>
      </c>
      <c r="O43" s="17"/>
      <c r="P43" s="17">
        <f>N43*'[1]Other BOM'!B22</f>
        <v>67200</v>
      </c>
      <c r="Q43" s="18">
        <f>K43</f>
        <v>300</v>
      </c>
      <c r="R43" s="19"/>
      <c r="S43" s="19">
        <f>Q43*'[1]Other BOM'!B22</f>
        <v>67200</v>
      </c>
      <c r="T43" s="20">
        <f>K43</f>
        <v>300</v>
      </c>
      <c r="U43" s="21"/>
      <c r="V43" s="21">
        <f>T43*'[1]Other BOM'!B22</f>
        <v>67200</v>
      </c>
      <c r="W43" t="s">
        <v>27</v>
      </c>
      <c r="X43" t="s">
        <v>27</v>
      </c>
      <c r="Y43">
        <v>66</v>
      </c>
      <c r="Z43" t="s">
        <v>140</v>
      </c>
    </row>
    <row r="44" spans="1:26">
      <c r="A44" s="7" t="s">
        <v>20</v>
      </c>
      <c r="B44" s="7" t="s">
        <v>21</v>
      </c>
      <c r="C44" s="8" t="s">
        <v>127</v>
      </c>
      <c r="D44" s="9" t="s">
        <v>23</v>
      </c>
      <c r="E44" s="10" t="s">
        <v>141</v>
      </c>
      <c r="F44" s="10" t="s">
        <v>142</v>
      </c>
      <c r="G44" s="11" t="s">
        <v>143</v>
      </c>
      <c r="H44" s="13">
        <v>10</v>
      </c>
      <c r="I44" s="13">
        <f t="shared" si="2"/>
        <v>0</v>
      </c>
      <c r="J44" s="13">
        <f t="shared" si="2"/>
        <v>50000</v>
      </c>
      <c r="K44" s="14">
        <v>10</v>
      </c>
      <c r="L44" s="15"/>
      <c r="M44" s="15">
        <f>K44*'[1]Other BOM'!B58</f>
        <v>50000</v>
      </c>
      <c r="N44" s="16">
        <f>K44</f>
        <v>10</v>
      </c>
      <c r="O44" s="17"/>
      <c r="P44" s="17">
        <f>N44*'[1]Other BOM'!B58</f>
        <v>50000</v>
      </c>
      <c r="Q44" s="18">
        <f>N44</f>
        <v>10</v>
      </c>
      <c r="R44" s="19"/>
      <c r="S44" s="19">
        <f>Q44*'[1]Other BOM'!B58</f>
        <v>50000</v>
      </c>
      <c r="T44" s="20">
        <f>Q44</f>
        <v>10</v>
      </c>
      <c r="U44" s="21"/>
      <c r="V44" s="21">
        <f>T44*'[1]Other BOM'!B58</f>
        <v>50000</v>
      </c>
      <c r="W44" t="s">
        <v>27</v>
      </c>
      <c r="X44" t="s">
        <v>27</v>
      </c>
    </row>
    <row r="45" spans="1:26">
      <c r="A45" s="7" t="s">
        <v>20</v>
      </c>
      <c r="B45" s="7" t="s">
        <v>21</v>
      </c>
      <c r="C45" s="8" t="s">
        <v>38</v>
      </c>
      <c r="D45" s="9" t="s">
        <v>23</v>
      </c>
      <c r="E45" s="10" t="s">
        <v>144</v>
      </c>
      <c r="F45" s="10" t="s">
        <v>138</v>
      </c>
      <c r="G45" s="45" t="s">
        <v>145</v>
      </c>
      <c r="H45" s="33"/>
      <c r="I45" s="33"/>
      <c r="J45" s="33"/>
      <c r="K45" s="34">
        <f>SUM(K75,K77)</f>
        <v>59</v>
      </c>
      <c r="L45" s="35"/>
      <c r="M45" s="35">
        <v>29296</v>
      </c>
      <c r="N45" s="16">
        <f>K45*1.1</f>
        <v>64.900000000000006</v>
      </c>
      <c r="O45" s="17"/>
      <c r="P45" s="17">
        <f>M45</f>
        <v>29296</v>
      </c>
      <c r="Q45" s="18">
        <f>N45*1.1</f>
        <v>71.390000000000015</v>
      </c>
      <c r="R45" s="19"/>
      <c r="S45" s="19">
        <f>M45</f>
        <v>29296</v>
      </c>
      <c r="T45" s="20">
        <f>Q45*1.1</f>
        <v>78.529000000000025</v>
      </c>
      <c r="U45" s="21"/>
      <c r="V45" s="21">
        <f>M45</f>
        <v>29296</v>
      </c>
      <c r="W45" t="s">
        <v>27</v>
      </c>
      <c r="X45" t="s">
        <v>82</v>
      </c>
    </row>
    <row r="46" spans="1:26">
      <c r="A46" s="7" t="s">
        <v>20</v>
      </c>
      <c r="B46" s="7" t="s">
        <v>21</v>
      </c>
      <c r="C46" s="8" t="s">
        <v>127</v>
      </c>
      <c r="D46" s="9" t="s">
        <v>23</v>
      </c>
      <c r="E46" s="10" t="s">
        <v>146</v>
      </c>
      <c r="F46" s="10" t="s">
        <v>129</v>
      </c>
      <c r="G46" s="11" t="s">
        <v>147</v>
      </c>
      <c r="H46" s="13">
        <v>4</v>
      </c>
      <c r="I46" s="13">
        <f>L46</f>
        <v>0</v>
      </c>
      <c r="J46" s="13">
        <f>M46</f>
        <v>35625</v>
      </c>
      <c r="K46" s="14">
        <v>4</v>
      </c>
      <c r="L46" s="15"/>
      <c r="M46" s="15">
        <f>K46*2375*3.75</f>
        <v>35625</v>
      </c>
      <c r="N46" s="16">
        <f>K46</f>
        <v>4</v>
      </c>
      <c r="O46" s="17"/>
      <c r="P46" s="17">
        <f>M46</f>
        <v>35625</v>
      </c>
      <c r="Q46" s="18">
        <v>1</v>
      </c>
      <c r="R46" s="19"/>
      <c r="S46" s="19">
        <v>8906.25</v>
      </c>
      <c r="T46" s="20">
        <v>1</v>
      </c>
      <c r="U46" s="21"/>
      <c r="V46" s="21">
        <v>8906.25</v>
      </c>
      <c r="W46" t="s">
        <v>27</v>
      </c>
      <c r="X46" t="s">
        <v>27</v>
      </c>
    </row>
    <row r="47" spans="1:26">
      <c r="A47" s="7" t="s">
        <v>20</v>
      </c>
      <c r="B47" s="7" t="s">
        <v>21</v>
      </c>
      <c r="C47" s="8" t="s">
        <v>38</v>
      </c>
      <c r="D47" s="9" t="s">
        <v>23</v>
      </c>
      <c r="E47" s="10" t="s">
        <v>148</v>
      </c>
      <c r="F47" s="10" t="s">
        <v>138</v>
      </c>
      <c r="G47" s="45" t="s">
        <v>149</v>
      </c>
      <c r="H47" s="33">
        <v>40.25</v>
      </c>
      <c r="I47" s="33">
        <f>L47</f>
        <v>0</v>
      </c>
      <c r="J47" s="33">
        <f>M47</f>
        <v>40250</v>
      </c>
      <c r="K47" s="34">
        <f>35+(35*15%)</f>
        <v>40.25</v>
      </c>
      <c r="L47" s="35"/>
      <c r="M47" s="35">
        <f>K47*'[1]Other BOM'!B21</f>
        <v>40250</v>
      </c>
      <c r="N47" s="16">
        <f>K47*1.1</f>
        <v>44.275000000000006</v>
      </c>
      <c r="O47" s="17"/>
      <c r="P47" s="17">
        <f>N47*'[1]Other BOM'!B21</f>
        <v>44275.000000000007</v>
      </c>
      <c r="Q47" s="18">
        <f>N47*1.1</f>
        <v>48.702500000000008</v>
      </c>
      <c r="R47" s="19"/>
      <c r="S47" s="19">
        <f>Q47*'[1]Other BOM'!B21</f>
        <v>48702.500000000007</v>
      </c>
      <c r="T47" s="20">
        <f>Q47*1.1</f>
        <v>53.572750000000013</v>
      </c>
      <c r="U47" s="21"/>
      <c r="V47" s="21">
        <f>T47*'[1]Other BOM'!B21</f>
        <v>53572.750000000015</v>
      </c>
      <c r="W47" t="s">
        <v>27</v>
      </c>
      <c r="X47" t="s">
        <v>27</v>
      </c>
    </row>
    <row r="48" spans="1:26">
      <c r="A48" s="7" t="s">
        <v>20</v>
      </c>
      <c r="B48" s="7" t="s">
        <v>21</v>
      </c>
      <c r="C48" s="8" t="s">
        <v>38</v>
      </c>
      <c r="D48" s="9" t="s">
        <v>23</v>
      </c>
      <c r="E48" s="10" t="s">
        <v>150</v>
      </c>
      <c r="F48" s="10" t="s">
        <v>138</v>
      </c>
      <c r="G48" s="45" t="s">
        <v>149</v>
      </c>
      <c r="H48" s="33"/>
      <c r="I48" s="33"/>
      <c r="J48" s="33"/>
      <c r="K48" s="34">
        <v>93</v>
      </c>
      <c r="L48" s="35"/>
      <c r="M48" s="35">
        <f>K48*'[1]Other BOM'!B69</f>
        <v>52312.5</v>
      </c>
      <c r="N48" s="16">
        <f>K48*1.1</f>
        <v>102.30000000000001</v>
      </c>
      <c r="O48" s="17"/>
      <c r="P48" s="17">
        <f>N48*'[1]Other BOM'!B69</f>
        <v>57543.750000000007</v>
      </c>
      <c r="Q48" s="18">
        <f>N48*1.1</f>
        <v>112.53000000000002</v>
      </c>
      <c r="R48" s="19"/>
      <c r="S48" s="19">
        <f>Q48*'[1]Other BOM'!B69</f>
        <v>63298.125000000007</v>
      </c>
      <c r="T48" s="20">
        <f>Q48*1.1</f>
        <v>123.78300000000003</v>
      </c>
      <c r="U48" s="21"/>
      <c r="V48" s="21">
        <f>T48*'[1]Other BOM'!B69</f>
        <v>69627.937500000015</v>
      </c>
      <c r="W48" t="s">
        <v>27</v>
      </c>
      <c r="X48" t="s">
        <v>27</v>
      </c>
    </row>
    <row r="49" spans="1:25">
      <c r="A49" s="7" t="s">
        <v>20</v>
      </c>
      <c r="B49" s="7" t="s">
        <v>21</v>
      </c>
      <c r="C49" s="8" t="s">
        <v>127</v>
      </c>
      <c r="D49" s="9" t="s">
        <v>23</v>
      </c>
      <c r="E49" s="10" t="s">
        <v>151</v>
      </c>
      <c r="F49" s="10" t="s">
        <v>152</v>
      </c>
      <c r="G49" s="11" t="s">
        <v>153</v>
      </c>
      <c r="H49" s="13">
        <v>4</v>
      </c>
      <c r="I49" s="13">
        <f t="shared" ref="I49:J64" si="3">L49</f>
        <v>0</v>
      </c>
      <c r="J49" s="13">
        <f t="shared" si="3"/>
        <v>82050</v>
      </c>
      <c r="K49" s="14">
        <v>1</v>
      </c>
      <c r="L49" s="15"/>
      <c r="M49" s="15">
        <f>K49*'[1]Other BOM'!B62</f>
        <v>82050</v>
      </c>
      <c r="N49" s="16">
        <f>K49</f>
        <v>1</v>
      </c>
      <c r="O49" s="17"/>
      <c r="P49" s="17">
        <f>N49*'[1]Other BOM'!B62</f>
        <v>82050</v>
      </c>
      <c r="Q49" s="18">
        <v>1</v>
      </c>
      <c r="R49" s="19"/>
      <c r="S49" s="19">
        <f>Q49*'[1]Other BOM'!B62</f>
        <v>82050</v>
      </c>
      <c r="T49" s="20">
        <v>1</v>
      </c>
      <c r="U49" s="21"/>
      <c r="V49" s="21">
        <f>T49*'[1]Other BOM'!B62</f>
        <v>82050</v>
      </c>
      <c r="W49" t="s">
        <v>27</v>
      </c>
      <c r="X49" t="s">
        <v>27</v>
      </c>
    </row>
    <row r="50" spans="1:25">
      <c r="A50" s="7" t="s">
        <v>20</v>
      </c>
      <c r="B50" s="7" t="s">
        <v>21</v>
      </c>
      <c r="C50" s="8" t="s">
        <v>127</v>
      </c>
      <c r="D50" s="9" t="s">
        <v>23</v>
      </c>
      <c r="E50" s="10" t="s">
        <v>154</v>
      </c>
      <c r="F50" s="10" t="s">
        <v>129</v>
      </c>
      <c r="G50" s="11" t="s">
        <v>155</v>
      </c>
      <c r="H50" s="13">
        <v>2</v>
      </c>
      <c r="I50" s="13">
        <f t="shared" si="3"/>
        <v>0</v>
      </c>
      <c r="J50" s="13">
        <f t="shared" si="3"/>
        <v>20737.5</v>
      </c>
      <c r="K50" s="14">
        <v>2</v>
      </c>
      <c r="L50" s="15"/>
      <c r="M50" s="15">
        <f>K50*2765*3.75</f>
        <v>20737.5</v>
      </c>
      <c r="N50" s="16">
        <f>K50</f>
        <v>2</v>
      </c>
      <c r="O50" s="17"/>
      <c r="P50" s="17">
        <f>M50</f>
        <v>20737.5</v>
      </c>
      <c r="Q50" s="18">
        <v>2</v>
      </c>
      <c r="R50" s="19"/>
      <c r="S50" s="19">
        <v>20737.5</v>
      </c>
      <c r="T50" s="20">
        <v>2</v>
      </c>
      <c r="U50" s="21"/>
      <c r="V50" s="21">
        <v>20737.5</v>
      </c>
      <c r="W50" t="s">
        <v>27</v>
      </c>
      <c r="X50" t="s">
        <v>82</v>
      </c>
    </row>
    <row r="51" spans="1:25">
      <c r="A51" s="7" t="s">
        <v>20</v>
      </c>
      <c r="B51" s="7" t="s">
        <v>21</v>
      </c>
      <c r="C51" s="8" t="s">
        <v>127</v>
      </c>
      <c r="D51" s="9" t="s">
        <v>23</v>
      </c>
      <c r="E51" s="10" t="s">
        <v>156</v>
      </c>
      <c r="F51" s="10" t="s">
        <v>157</v>
      </c>
      <c r="G51" s="11" t="s">
        <v>158</v>
      </c>
      <c r="H51" s="13">
        <v>4</v>
      </c>
      <c r="I51" s="13">
        <f t="shared" si="3"/>
        <v>0</v>
      </c>
      <c r="J51" s="13">
        <f t="shared" si="3"/>
        <v>29712</v>
      </c>
      <c r="K51" s="14">
        <v>4</v>
      </c>
      <c r="L51" s="15"/>
      <c r="M51" s="15">
        <f>K51*'[1]Other BOM'!B44</f>
        <v>29712</v>
      </c>
      <c r="N51" s="16">
        <f>K51</f>
        <v>4</v>
      </c>
      <c r="O51" s="17"/>
      <c r="P51" s="17">
        <f>N51*'[1]Other BOM'!B44</f>
        <v>29712</v>
      </c>
      <c r="Q51" s="18">
        <v>4</v>
      </c>
      <c r="R51" s="19"/>
      <c r="S51" s="19">
        <f>Q51*'[1]Other BOM'!B44</f>
        <v>29712</v>
      </c>
      <c r="T51" s="20">
        <v>4</v>
      </c>
      <c r="U51" s="21"/>
      <c r="V51" s="21">
        <f>T51*'[1]Other BOM'!B44</f>
        <v>29712</v>
      </c>
      <c r="W51" t="s">
        <v>27</v>
      </c>
      <c r="X51" t="s">
        <v>49</v>
      </c>
    </row>
    <row r="52" spans="1:25">
      <c r="A52" s="7" t="s">
        <v>20</v>
      </c>
      <c r="B52" s="7" t="s">
        <v>21</v>
      </c>
      <c r="C52" s="8" t="s">
        <v>38</v>
      </c>
      <c r="D52" s="9" t="s">
        <v>23</v>
      </c>
      <c r="E52" s="36" t="s">
        <v>159</v>
      </c>
      <c r="F52" s="10" t="s">
        <v>138</v>
      </c>
      <c r="G52" s="32" t="s">
        <v>160</v>
      </c>
      <c r="H52" s="33">
        <v>150</v>
      </c>
      <c r="I52" s="33">
        <f t="shared" si="3"/>
        <v>0</v>
      </c>
      <c r="J52" s="33">
        <f t="shared" si="3"/>
        <v>27900</v>
      </c>
      <c r="K52" s="34">
        <v>150</v>
      </c>
      <c r="L52" s="35"/>
      <c r="M52" s="35">
        <f>K52*'[1]Other BOM'!B23</f>
        <v>27900</v>
      </c>
      <c r="N52" s="16">
        <f>K52*1.1</f>
        <v>165</v>
      </c>
      <c r="O52" s="17"/>
      <c r="P52" s="17">
        <f>N52*'[1]Other BOM'!B23</f>
        <v>30690</v>
      </c>
      <c r="Q52" s="18">
        <f>N52*1.1</f>
        <v>181.50000000000003</v>
      </c>
      <c r="R52" s="19"/>
      <c r="S52" s="19">
        <f>Q52*'[1]Other BOM'!B23</f>
        <v>33759.000000000007</v>
      </c>
      <c r="T52" s="20">
        <f>Q52*1.1</f>
        <v>199.65000000000003</v>
      </c>
      <c r="U52" s="21"/>
      <c r="V52" s="21">
        <f>T52*'[1]Other BOM'!B23</f>
        <v>37134.900000000009</v>
      </c>
      <c r="W52" t="s">
        <v>27</v>
      </c>
      <c r="X52" t="s">
        <v>27</v>
      </c>
    </row>
    <row r="53" spans="1:25">
      <c r="A53" s="7" t="s">
        <v>20</v>
      </c>
      <c r="B53" s="7" t="s">
        <v>21</v>
      </c>
      <c r="C53" s="8" t="s">
        <v>127</v>
      </c>
      <c r="D53" s="9" t="s">
        <v>23</v>
      </c>
      <c r="E53" s="10" t="s">
        <v>161</v>
      </c>
      <c r="F53" s="10" t="s">
        <v>162</v>
      </c>
      <c r="G53" s="11" t="s">
        <v>163</v>
      </c>
      <c r="H53" s="13">
        <v>4</v>
      </c>
      <c r="I53" s="13">
        <f t="shared" si="3"/>
        <v>0</v>
      </c>
      <c r="J53" s="13">
        <f t="shared" si="3"/>
        <v>45000</v>
      </c>
      <c r="K53" s="14">
        <v>4</v>
      </c>
      <c r="L53" s="15"/>
      <c r="M53" s="15">
        <f>(3*'[1]Other BOM'!B66)+'[1]Other BOM'!B65</f>
        <v>45000</v>
      </c>
      <c r="N53" s="16">
        <f>K53</f>
        <v>4</v>
      </c>
      <c r="O53" s="17"/>
      <c r="P53" s="17">
        <f>M53</f>
        <v>45000</v>
      </c>
      <c r="Q53" s="18">
        <v>4</v>
      </c>
      <c r="R53" s="19"/>
      <c r="S53" s="19">
        <f>M53</f>
        <v>45000</v>
      </c>
      <c r="T53" s="20">
        <v>4</v>
      </c>
      <c r="U53" s="21"/>
      <c r="V53" s="21">
        <f>S53</f>
        <v>45000</v>
      </c>
      <c r="W53" t="s">
        <v>27</v>
      </c>
      <c r="X53" t="s">
        <v>27</v>
      </c>
    </row>
    <row r="54" spans="1:25">
      <c r="A54" s="7" t="s">
        <v>20</v>
      </c>
      <c r="B54" s="7" t="s">
        <v>21</v>
      </c>
      <c r="C54" s="8" t="s">
        <v>127</v>
      </c>
      <c r="D54" s="9" t="s">
        <v>23</v>
      </c>
      <c r="E54" s="10" t="s">
        <v>164</v>
      </c>
      <c r="F54" s="10" t="s">
        <v>138</v>
      </c>
      <c r="G54" s="32" t="s">
        <v>165</v>
      </c>
      <c r="H54" s="33">
        <v>8</v>
      </c>
      <c r="I54" s="33">
        <f t="shared" si="3"/>
        <v>0</v>
      </c>
      <c r="J54" s="33">
        <f t="shared" si="3"/>
        <v>20250</v>
      </c>
      <c r="K54" s="34">
        <v>15</v>
      </c>
      <c r="L54" s="35"/>
      <c r="M54" s="35">
        <f>K54*'[1]Other BOM'!B24</f>
        <v>20250</v>
      </c>
      <c r="N54" s="16">
        <f>K54</f>
        <v>15</v>
      </c>
      <c r="O54" s="17">
        <v>0</v>
      </c>
      <c r="P54" s="17">
        <f>N54*'[1]Other BOM'!B24</f>
        <v>20250</v>
      </c>
      <c r="Q54" s="18">
        <f>K54</f>
        <v>15</v>
      </c>
      <c r="R54" s="19">
        <v>0</v>
      </c>
      <c r="S54" s="19">
        <f>Q54*'[1]Other BOM'!B24</f>
        <v>20250</v>
      </c>
      <c r="T54" s="20">
        <f>K54</f>
        <v>15</v>
      </c>
      <c r="U54" s="21">
        <v>0</v>
      </c>
      <c r="V54" s="21">
        <f>T54*'[1]Other BOM'!B24</f>
        <v>20250</v>
      </c>
      <c r="W54" t="s">
        <v>27</v>
      </c>
      <c r="X54" t="s">
        <v>27</v>
      </c>
    </row>
    <row r="55" spans="1:25">
      <c r="A55" s="7" t="s">
        <v>20</v>
      </c>
      <c r="B55" s="7" t="s">
        <v>21</v>
      </c>
      <c r="C55" s="8" t="s">
        <v>127</v>
      </c>
      <c r="D55" s="9" t="s">
        <v>23</v>
      </c>
      <c r="E55" s="10" t="s">
        <v>166</v>
      </c>
      <c r="F55" s="10" t="s">
        <v>167</v>
      </c>
      <c r="G55" s="11" t="s">
        <v>168</v>
      </c>
      <c r="H55" s="13">
        <v>1</v>
      </c>
      <c r="I55" s="13">
        <f t="shared" si="3"/>
        <v>0</v>
      </c>
      <c r="J55" s="13">
        <f t="shared" si="3"/>
        <v>20000</v>
      </c>
      <c r="K55" s="14">
        <v>1</v>
      </c>
      <c r="L55" s="15"/>
      <c r="M55" s="15">
        <v>20000</v>
      </c>
      <c r="N55" s="16">
        <f>K55</f>
        <v>1</v>
      </c>
      <c r="O55" s="17"/>
      <c r="P55" s="17">
        <f>M55</f>
        <v>20000</v>
      </c>
      <c r="Q55" s="18">
        <v>1</v>
      </c>
      <c r="R55" s="19"/>
      <c r="S55" s="19">
        <f>M55</f>
        <v>20000</v>
      </c>
      <c r="T55" s="20">
        <v>1</v>
      </c>
      <c r="U55" s="21"/>
      <c r="V55" s="21">
        <f>M55</f>
        <v>20000</v>
      </c>
      <c r="W55" t="s">
        <v>27</v>
      </c>
      <c r="X55" t="s">
        <v>82</v>
      </c>
    </row>
    <row r="56" spans="1:25">
      <c r="A56" s="7" t="s">
        <v>20</v>
      </c>
      <c r="B56" s="7" t="s">
        <v>21</v>
      </c>
      <c r="C56" s="8" t="s">
        <v>127</v>
      </c>
      <c r="D56" s="9" t="s">
        <v>23</v>
      </c>
      <c r="E56" s="10" t="s">
        <v>169</v>
      </c>
      <c r="F56" s="10" t="s">
        <v>170</v>
      </c>
      <c r="G56" s="47" t="s">
        <v>171</v>
      </c>
      <c r="H56" s="48">
        <v>8</v>
      </c>
      <c r="I56" s="48">
        <f t="shared" si="3"/>
        <v>0</v>
      </c>
      <c r="J56" s="48">
        <f t="shared" si="3"/>
        <v>18825</v>
      </c>
      <c r="K56" s="49">
        <v>8</v>
      </c>
      <c r="L56" s="50"/>
      <c r="M56" s="50">
        <f>5020*3.75</f>
        <v>18825</v>
      </c>
      <c r="N56" s="16">
        <f>K56</f>
        <v>8</v>
      </c>
      <c r="O56" s="17"/>
      <c r="P56" s="17">
        <f>M56</f>
        <v>18825</v>
      </c>
      <c r="Q56" s="18">
        <f>K56</f>
        <v>8</v>
      </c>
      <c r="R56" s="19"/>
      <c r="S56" s="19">
        <f>M56</f>
        <v>18825</v>
      </c>
      <c r="T56" s="20">
        <f>K56</f>
        <v>8</v>
      </c>
      <c r="U56" s="21"/>
      <c r="V56" s="21">
        <f>M56</f>
        <v>18825</v>
      </c>
      <c r="W56" t="s">
        <v>27</v>
      </c>
      <c r="X56" t="s">
        <v>82</v>
      </c>
      <c r="Y56" t="s">
        <v>172</v>
      </c>
    </row>
    <row r="57" spans="1:25">
      <c r="A57" s="7" t="s">
        <v>20</v>
      </c>
      <c r="B57" s="7" t="s">
        <v>21</v>
      </c>
      <c r="C57" s="8" t="s">
        <v>127</v>
      </c>
      <c r="D57" s="9" t="s">
        <v>23</v>
      </c>
      <c r="E57" s="10" t="s">
        <v>173</v>
      </c>
      <c r="F57" s="10" t="s">
        <v>174</v>
      </c>
      <c r="G57" s="11" t="s">
        <v>175</v>
      </c>
      <c r="H57" s="13">
        <v>445</v>
      </c>
      <c r="I57" s="13">
        <f t="shared" si="3"/>
        <v>0</v>
      </c>
      <c r="J57" s="13">
        <f t="shared" si="3"/>
        <v>16650.5625</v>
      </c>
      <c r="K57" s="14">
        <f>350+K75+K77+K79</f>
        <v>429</v>
      </c>
      <c r="L57" s="15"/>
      <c r="M57" s="15">
        <f>K57*'[1]Other BOM'!B53</f>
        <v>16650.5625</v>
      </c>
      <c r="N57" s="16">
        <f>K57+(K57*15%)</f>
        <v>493.35</v>
      </c>
      <c r="O57" s="17"/>
      <c r="P57" s="17">
        <f>N57*'[1]Other BOM'!B53</f>
        <v>19148.146875000002</v>
      </c>
      <c r="Q57" s="18">
        <f>N57+(N57*15%)</f>
        <v>567.35249999999996</v>
      </c>
      <c r="R57" s="19"/>
      <c r="S57" s="19">
        <f>Q57*'[1]Other BOM'!B53</f>
        <v>22020.368906249998</v>
      </c>
      <c r="T57" s="20">
        <f>Q57+(Q57*15%)</f>
        <v>652.455375</v>
      </c>
      <c r="U57" s="21"/>
      <c r="V57" s="21">
        <f>T57*'[1]Other BOM'!B53</f>
        <v>25323.424242187499</v>
      </c>
      <c r="W57" t="s">
        <v>27</v>
      </c>
      <c r="X57" t="s">
        <v>49</v>
      </c>
    </row>
    <row r="58" spans="1:25" ht="18" customHeight="1">
      <c r="A58" s="7" t="s">
        <v>20</v>
      </c>
      <c r="B58" s="7" t="s">
        <v>21</v>
      </c>
      <c r="C58" s="8" t="s">
        <v>127</v>
      </c>
      <c r="D58" s="9" t="s">
        <v>23</v>
      </c>
      <c r="E58" s="10" t="s">
        <v>156</v>
      </c>
      <c r="F58" s="10" t="s">
        <v>157</v>
      </c>
      <c r="G58" s="11" t="s">
        <v>176</v>
      </c>
      <c r="H58" s="13">
        <v>4</v>
      </c>
      <c r="I58" s="13">
        <f t="shared" si="3"/>
        <v>0</v>
      </c>
      <c r="J58" s="13">
        <f t="shared" si="3"/>
        <v>15200</v>
      </c>
      <c r="K58" s="14">
        <v>4</v>
      </c>
      <c r="L58" s="15"/>
      <c r="M58" s="15">
        <f>K58*'[1]Other BOM'!B57</f>
        <v>15200</v>
      </c>
      <c r="N58" s="16">
        <f>K58</f>
        <v>4</v>
      </c>
      <c r="O58" s="17"/>
      <c r="P58" s="17">
        <f>N58*'[1]Other BOM'!B57</f>
        <v>15200</v>
      </c>
      <c r="Q58" s="18">
        <v>5</v>
      </c>
      <c r="R58" s="19"/>
      <c r="S58" s="19">
        <f>Q58*'[1]Other BOM'!B57</f>
        <v>19000</v>
      </c>
      <c r="T58" s="20">
        <v>4</v>
      </c>
      <c r="U58" s="21"/>
      <c r="V58" s="21">
        <f>T58*'[1]Other BOM'!B57</f>
        <v>15200</v>
      </c>
      <c r="W58" t="s">
        <v>27</v>
      </c>
      <c r="X58" t="s">
        <v>49</v>
      </c>
    </row>
    <row r="59" spans="1:25" ht="18" customHeight="1">
      <c r="A59" s="7" t="s">
        <v>20</v>
      </c>
      <c r="B59" s="7" t="s">
        <v>21</v>
      </c>
      <c r="C59" s="8" t="s">
        <v>127</v>
      </c>
      <c r="D59" s="9" t="s">
        <v>23</v>
      </c>
      <c r="E59" s="10" t="s">
        <v>177</v>
      </c>
      <c r="F59" s="10" t="s">
        <v>178</v>
      </c>
      <c r="G59" s="51" t="s">
        <v>179</v>
      </c>
      <c r="H59" s="52">
        <v>1</v>
      </c>
      <c r="I59" s="13">
        <f t="shared" si="3"/>
        <v>0</v>
      </c>
      <c r="J59" s="13">
        <f t="shared" si="3"/>
        <v>14500</v>
      </c>
      <c r="K59" s="14">
        <v>1</v>
      </c>
      <c r="L59" s="15"/>
      <c r="M59" s="15">
        <f>K59*14500</f>
        <v>14500</v>
      </c>
      <c r="N59" s="16">
        <f>K59</f>
        <v>1</v>
      </c>
      <c r="O59" s="17"/>
      <c r="P59" s="17">
        <f>M59</f>
        <v>14500</v>
      </c>
      <c r="Q59" s="18">
        <v>1</v>
      </c>
      <c r="R59" s="19"/>
      <c r="S59" s="19">
        <v>14500</v>
      </c>
      <c r="T59" s="20">
        <v>1</v>
      </c>
      <c r="U59" s="21"/>
      <c r="V59" s="21">
        <v>14500</v>
      </c>
      <c r="W59" t="s">
        <v>27</v>
      </c>
      <c r="X59" t="s">
        <v>49</v>
      </c>
    </row>
    <row r="60" spans="1:25">
      <c r="A60" s="7" t="s">
        <v>20</v>
      </c>
      <c r="B60" s="7" t="s">
        <v>21</v>
      </c>
      <c r="C60" s="8" t="s">
        <v>127</v>
      </c>
      <c r="D60" s="9" t="s">
        <v>23</v>
      </c>
      <c r="E60" s="10" t="s">
        <v>180</v>
      </c>
      <c r="F60" s="10" t="s">
        <v>138</v>
      </c>
      <c r="G60" s="11" t="s">
        <v>181</v>
      </c>
      <c r="H60" s="13">
        <v>15</v>
      </c>
      <c r="I60" s="13">
        <f t="shared" si="3"/>
        <v>0</v>
      </c>
      <c r="J60" s="13">
        <f t="shared" si="3"/>
        <v>10200</v>
      </c>
      <c r="K60" s="14">
        <v>15</v>
      </c>
      <c r="L60" s="15"/>
      <c r="M60" s="15">
        <f>K60*'[1]Other BOM'!B18</f>
        <v>10200</v>
      </c>
      <c r="N60" s="16">
        <f>K60</f>
        <v>15</v>
      </c>
      <c r="O60" s="17"/>
      <c r="P60" s="17">
        <f>N60*'[1]Other BOM'!B18</f>
        <v>10200</v>
      </c>
      <c r="Q60" s="18">
        <f>N60</f>
        <v>15</v>
      </c>
      <c r="R60" s="19"/>
      <c r="S60" s="19">
        <f>Q60*'[1]Other BOM'!B18</f>
        <v>10200</v>
      </c>
      <c r="T60" s="20">
        <f>K60</f>
        <v>15</v>
      </c>
      <c r="U60" s="21"/>
      <c r="V60" s="21">
        <f>T60*'[1]Other BOM'!B18</f>
        <v>10200</v>
      </c>
      <c r="W60" t="s">
        <v>27</v>
      </c>
      <c r="X60" t="s">
        <v>27</v>
      </c>
    </row>
    <row r="61" spans="1:25">
      <c r="A61" s="7" t="s">
        <v>20</v>
      </c>
      <c r="B61" s="7" t="s">
        <v>21</v>
      </c>
      <c r="C61" s="8" t="s">
        <v>127</v>
      </c>
      <c r="D61" s="9" t="s">
        <v>23</v>
      </c>
      <c r="E61" s="10" t="s">
        <v>182</v>
      </c>
      <c r="F61" s="10" t="s">
        <v>135</v>
      </c>
      <c r="G61" s="11" t="s">
        <v>183</v>
      </c>
      <c r="H61" s="13">
        <v>1</v>
      </c>
      <c r="I61" s="13">
        <f t="shared" si="3"/>
        <v>0</v>
      </c>
      <c r="J61" s="13">
        <f t="shared" si="3"/>
        <v>10000</v>
      </c>
      <c r="K61" s="14">
        <v>1</v>
      </c>
      <c r="L61" s="15"/>
      <c r="M61" s="15">
        <f>K61*'[1]Other BOM'!B63</f>
        <v>10000</v>
      </c>
      <c r="N61" s="16">
        <f>K61</f>
        <v>1</v>
      </c>
      <c r="O61" s="17"/>
      <c r="P61" s="17">
        <f>K61*'[1]Other BOM'!B63</f>
        <v>10000</v>
      </c>
      <c r="Q61" s="18">
        <v>1</v>
      </c>
      <c r="R61" s="19"/>
      <c r="S61" s="19">
        <f>K61*'[1]Other BOM'!B63</f>
        <v>10000</v>
      </c>
      <c r="T61" s="20">
        <v>1</v>
      </c>
      <c r="U61" s="21"/>
      <c r="V61" s="21">
        <f>K61*'[1]Other BOM'!B63</f>
        <v>10000</v>
      </c>
      <c r="W61" t="s">
        <v>27</v>
      </c>
      <c r="X61" t="s">
        <v>27</v>
      </c>
    </row>
    <row r="62" spans="1:25">
      <c r="A62" s="7" t="s">
        <v>20</v>
      </c>
      <c r="B62" s="7" t="s">
        <v>21</v>
      </c>
      <c r="C62" s="8" t="s">
        <v>38</v>
      </c>
      <c r="D62" s="9" t="s">
        <v>23</v>
      </c>
      <c r="E62" s="10" t="s">
        <v>184</v>
      </c>
      <c r="F62" s="10" t="s">
        <v>185</v>
      </c>
      <c r="G62" s="11" t="s">
        <v>186</v>
      </c>
      <c r="H62" s="13">
        <v>1</v>
      </c>
      <c r="I62" s="13">
        <f t="shared" si="3"/>
        <v>0</v>
      </c>
      <c r="J62" s="13">
        <f t="shared" si="3"/>
        <v>5280</v>
      </c>
      <c r="K62" s="14">
        <v>1</v>
      </c>
      <c r="L62" s="15"/>
      <c r="M62" s="15">
        <f>K62*'[1]Other BOM'!B26</f>
        <v>5280</v>
      </c>
      <c r="N62" s="16">
        <v>1</v>
      </c>
      <c r="O62" s="17"/>
      <c r="P62" s="17">
        <f>N62*'[1]Other BOM'!B26</f>
        <v>5280</v>
      </c>
      <c r="Q62" s="18">
        <v>1</v>
      </c>
      <c r="R62" s="19"/>
      <c r="S62" s="19">
        <f>Q62*'[1]Other BOM'!B26</f>
        <v>5280</v>
      </c>
      <c r="T62" s="20">
        <v>1</v>
      </c>
      <c r="U62" s="21"/>
      <c r="V62" s="21">
        <f>T62*'[1]Other BOM'!B26</f>
        <v>5280</v>
      </c>
      <c r="W62" t="s">
        <v>27</v>
      </c>
      <c r="X62" t="s">
        <v>49</v>
      </c>
    </row>
    <row r="63" spans="1:25">
      <c r="A63" s="7" t="s">
        <v>20</v>
      </c>
      <c r="B63" s="7" t="s">
        <v>21</v>
      </c>
      <c r="C63" s="8" t="s">
        <v>127</v>
      </c>
      <c r="D63" s="9" t="s">
        <v>23</v>
      </c>
      <c r="E63" s="10" t="s">
        <v>187</v>
      </c>
      <c r="F63" s="10" t="s">
        <v>157</v>
      </c>
      <c r="G63" s="11" t="s">
        <v>188</v>
      </c>
      <c r="H63" s="13">
        <v>5</v>
      </c>
      <c r="I63" s="13">
        <f t="shared" si="3"/>
        <v>0</v>
      </c>
      <c r="J63" s="13">
        <f t="shared" si="3"/>
        <v>5280</v>
      </c>
      <c r="K63" s="14">
        <v>5</v>
      </c>
      <c r="L63" s="15"/>
      <c r="M63" s="15">
        <f>K63*'[1]Other BOM'!B45</f>
        <v>5280</v>
      </c>
      <c r="N63" s="16">
        <f>K63+(K63*15%)</f>
        <v>5.75</v>
      </c>
      <c r="O63" s="17"/>
      <c r="P63" s="17">
        <f>N63*'[1]Other BOM'!B45</f>
        <v>6072</v>
      </c>
      <c r="Q63" s="18">
        <f>N63+(N63*15%)</f>
        <v>6.6124999999999998</v>
      </c>
      <c r="R63" s="19"/>
      <c r="S63" s="19">
        <f>Q63*'[1]Other BOM'!B45</f>
        <v>6982.8</v>
      </c>
      <c r="T63" s="20">
        <f>Q63+(Q63*15%)</f>
        <v>7.6043750000000001</v>
      </c>
      <c r="U63" s="21"/>
      <c r="V63" s="21">
        <f>T63*'[1]Other BOM'!B45</f>
        <v>8030.22</v>
      </c>
      <c r="W63" t="s">
        <v>27</v>
      </c>
      <c r="X63" t="s">
        <v>49</v>
      </c>
    </row>
    <row r="64" spans="1:25">
      <c r="A64" s="7" t="s">
        <v>20</v>
      </c>
      <c r="B64" s="7" t="s">
        <v>21</v>
      </c>
      <c r="C64" s="8" t="s">
        <v>127</v>
      </c>
      <c r="D64" s="9" t="s">
        <v>23</v>
      </c>
      <c r="E64" s="10" t="s">
        <v>189</v>
      </c>
      <c r="F64" s="10" t="s">
        <v>189</v>
      </c>
      <c r="G64" s="11" t="s">
        <v>190</v>
      </c>
      <c r="H64" s="13">
        <v>4</v>
      </c>
      <c r="I64" s="13">
        <f t="shared" si="3"/>
        <v>0</v>
      </c>
      <c r="J64" s="13">
        <f t="shared" si="3"/>
        <v>5220</v>
      </c>
      <c r="K64" s="14">
        <v>4</v>
      </c>
      <c r="L64" s="15"/>
      <c r="M64" s="15">
        <f>K64*'[1]Other BOM'!B55</f>
        <v>5220</v>
      </c>
      <c r="N64" s="16">
        <f>K64</f>
        <v>4</v>
      </c>
      <c r="O64" s="17"/>
      <c r="P64" s="17">
        <f>N64*'[1]Other BOM'!B55</f>
        <v>5220</v>
      </c>
      <c r="Q64" s="18">
        <f>K64</f>
        <v>4</v>
      </c>
      <c r="R64" s="19"/>
      <c r="S64" s="19">
        <f>Q64*'[1]Other BOM'!B55</f>
        <v>5220</v>
      </c>
      <c r="T64" s="20">
        <f>K64</f>
        <v>4</v>
      </c>
      <c r="U64" s="21"/>
      <c r="V64" s="21">
        <f>T64*'[1]Other BOM'!B55</f>
        <v>5220</v>
      </c>
      <c r="W64" t="s">
        <v>27</v>
      </c>
      <c r="X64" t="s">
        <v>49</v>
      </c>
    </row>
    <row r="65" spans="1:26">
      <c r="A65" s="7" t="s">
        <v>20</v>
      </c>
      <c r="B65" s="7" t="s">
        <v>21</v>
      </c>
      <c r="C65" s="8" t="s">
        <v>127</v>
      </c>
      <c r="D65" s="9" t="s">
        <v>23</v>
      </c>
      <c r="E65" s="10" t="s">
        <v>191</v>
      </c>
      <c r="F65" s="10" t="s">
        <v>192</v>
      </c>
      <c r="G65" s="11" t="s">
        <v>190</v>
      </c>
      <c r="H65" s="13">
        <v>2</v>
      </c>
      <c r="I65" s="13">
        <f t="shared" ref="I65:J70" si="4">L65</f>
        <v>0</v>
      </c>
      <c r="J65" s="13">
        <f t="shared" si="4"/>
        <v>3060</v>
      </c>
      <c r="K65" s="14">
        <v>2</v>
      </c>
      <c r="L65" s="15"/>
      <c r="M65" s="15">
        <f>K65*'[1]Other BOM'!B60</f>
        <v>3060</v>
      </c>
      <c r="N65" s="16">
        <f>K65</f>
        <v>2</v>
      </c>
      <c r="O65" s="17"/>
      <c r="P65" s="17">
        <f>N65*'[1]Other BOM'!B60</f>
        <v>3060</v>
      </c>
      <c r="Q65" s="18">
        <v>2</v>
      </c>
      <c r="R65" s="19"/>
      <c r="S65" s="19">
        <f>Q65*'[1]Other BOM'!B60</f>
        <v>3060</v>
      </c>
      <c r="T65" s="20">
        <v>2</v>
      </c>
      <c r="U65" s="21"/>
      <c r="V65" s="21">
        <f>T65*'[1]Other BOM'!B60</f>
        <v>3060</v>
      </c>
      <c r="W65" t="s">
        <v>27</v>
      </c>
      <c r="X65" t="s">
        <v>82</v>
      </c>
    </row>
    <row r="66" spans="1:26">
      <c r="A66" s="7" t="s">
        <v>20</v>
      </c>
      <c r="B66" s="7" t="s">
        <v>21</v>
      </c>
      <c r="C66" s="8" t="s">
        <v>38</v>
      </c>
      <c r="D66" s="9" t="s">
        <v>23</v>
      </c>
      <c r="E66" s="10" t="s">
        <v>193</v>
      </c>
      <c r="F66" s="10" t="s">
        <v>138</v>
      </c>
      <c r="G66" s="11" t="s">
        <v>194</v>
      </c>
      <c r="H66" s="13">
        <v>7</v>
      </c>
      <c r="I66" s="13">
        <f t="shared" si="4"/>
        <v>0</v>
      </c>
      <c r="J66" s="13">
        <f t="shared" si="4"/>
        <v>2520</v>
      </c>
      <c r="K66" s="14">
        <v>7</v>
      </c>
      <c r="L66" s="15"/>
      <c r="M66" s="15">
        <f>K66*'[1]Other BOM'!B27</f>
        <v>2520</v>
      </c>
      <c r="N66" s="16">
        <v>7</v>
      </c>
      <c r="O66" s="17">
        <v>0</v>
      </c>
      <c r="P66" s="17">
        <f>N66*'[1]Other BOM'!B27</f>
        <v>2520</v>
      </c>
      <c r="Q66" s="18">
        <v>8</v>
      </c>
      <c r="R66" s="19"/>
      <c r="S66" s="19">
        <f>Q66*'[1]Other BOM'!B27</f>
        <v>2880</v>
      </c>
      <c r="T66" s="20">
        <v>9</v>
      </c>
      <c r="U66" s="21">
        <v>0</v>
      </c>
      <c r="V66" s="21">
        <f>T66*'[1]Other BOM'!B27</f>
        <v>3240</v>
      </c>
      <c r="W66" t="s">
        <v>27</v>
      </c>
      <c r="X66" t="s">
        <v>27</v>
      </c>
    </row>
    <row r="67" spans="1:26">
      <c r="A67" s="7" t="s">
        <v>20</v>
      </c>
      <c r="B67" s="7" t="s">
        <v>21</v>
      </c>
      <c r="C67" s="8" t="s">
        <v>127</v>
      </c>
      <c r="D67" s="9" t="s">
        <v>23</v>
      </c>
      <c r="E67" s="10" t="s">
        <v>195</v>
      </c>
      <c r="F67" s="10" t="s">
        <v>196</v>
      </c>
      <c r="G67" s="11" t="s">
        <v>197</v>
      </c>
      <c r="H67" s="13">
        <v>2</v>
      </c>
      <c r="I67" s="13">
        <f t="shared" si="4"/>
        <v>0</v>
      </c>
      <c r="J67" s="13">
        <f t="shared" si="4"/>
        <v>2460</v>
      </c>
      <c r="K67" s="14">
        <v>2</v>
      </c>
      <c r="L67" s="15"/>
      <c r="M67" s="15">
        <f>K67*'[1]Other BOM'!B43</f>
        <v>2460</v>
      </c>
      <c r="N67" s="16">
        <f>K67</f>
        <v>2</v>
      </c>
      <c r="O67" s="17"/>
      <c r="P67" s="17">
        <f>N67*'[1]Other BOM'!B43</f>
        <v>2460</v>
      </c>
      <c r="Q67" s="18">
        <v>1</v>
      </c>
      <c r="R67" s="19"/>
      <c r="S67" s="19">
        <f>Q67*'[1]Other BOM'!B43</f>
        <v>1230</v>
      </c>
      <c r="T67" s="20">
        <v>1</v>
      </c>
      <c r="U67" s="21"/>
      <c r="V67" s="21">
        <f>T67*'[1]Other BOM'!B43</f>
        <v>1230</v>
      </c>
      <c r="W67" t="s">
        <v>27</v>
      </c>
      <c r="X67" t="s">
        <v>49</v>
      </c>
    </row>
    <row r="68" spans="1:26">
      <c r="A68" s="7" t="s">
        <v>20</v>
      </c>
      <c r="B68" s="7" t="s">
        <v>21</v>
      </c>
      <c r="C68" s="8" t="s">
        <v>127</v>
      </c>
      <c r="D68" s="9" t="s">
        <v>23</v>
      </c>
      <c r="E68" s="10" t="s">
        <v>198</v>
      </c>
      <c r="F68" s="10" t="s">
        <v>199</v>
      </c>
      <c r="G68" s="11" t="s">
        <v>200</v>
      </c>
      <c r="H68" s="13">
        <v>1</v>
      </c>
      <c r="I68" s="13">
        <f t="shared" si="4"/>
        <v>0</v>
      </c>
      <c r="J68" s="13">
        <f t="shared" si="4"/>
        <v>2115</v>
      </c>
      <c r="K68" s="14">
        <v>1</v>
      </c>
      <c r="L68" s="15"/>
      <c r="M68" s="15">
        <f>K68*564*3.75</f>
        <v>2115</v>
      </c>
      <c r="N68" s="16">
        <f>K68</f>
        <v>1</v>
      </c>
      <c r="O68" s="17"/>
      <c r="P68" s="17">
        <f>M68</f>
        <v>2115</v>
      </c>
      <c r="Q68" s="18">
        <v>1</v>
      </c>
      <c r="R68" s="19"/>
      <c r="S68" s="19">
        <v>2115</v>
      </c>
      <c r="T68" s="20">
        <v>1</v>
      </c>
      <c r="U68" s="21"/>
      <c r="V68" s="21">
        <v>2115</v>
      </c>
      <c r="W68" t="s">
        <v>27</v>
      </c>
      <c r="X68" t="s">
        <v>49</v>
      </c>
    </row>
    <row r="69" spans="1:26">
      <c r="A69" s="7" t="s">
        <v>20</v>
      </c>
      <c r="B69" s="7" t="s">
        <v>21</v>
      </c>
      <c r="C69" s="8" t="s">
        <v>127</v>
      </c>
      <c r="D69" s="9" t="s">
        <v>23</v>
      </c>
      <c r="E69" s="10" t="s">
        <v>201</v>
      </c>
      <c r="F69" s="10" t="s">
        <v>138</v>
      </c>
      <c r="G69" s="11" t="s">
        <v>202</v>
      </c>
      <c r="H69" s="13">
        <v>3</v>
      </c>
      <c r="I69" s="13">
        <f t="shared" si="4"/>
        <v>0</v>
      </c>
      <c r="J69" s="13">
        <f t="shared" si="4"/>
        <v>1350</v>
      </c>
      <c r="K69" s="14">
        <v>3</v>
      </c>
      <c r="L69" s="15"/>
      <c r="M69" s="15">
        <f>K69*'[1]Other BOM'!B19</f>
        <v>1350</v>
      </c>
      <c r="N69" s="16">
        <f>K69</f>
        <v>3</v>
      </c>
      <c r="O69" s="17"/>
      <c r="P69" s="17">
        <f>N69*450</f>
        <v>1350</v>
      </c>
      <c r="Q69" s="18">
        <f>K69</f>
        <v>3</v>
      </c>
      <c r="R69" s="19"/>
      <c r="S69" s="19">
        <f>Q69*'[1]Other BOM'!B19</f>
        <v>1350</v>
      </c>
      <c r="T69" s="20">
        <f>K69</f>
        <v>3</v>
      </c>
      <c r="U69" s="21"/>
      <c r="V69" s="21">
        <f>T69*'[1]Other BOM'!B19</f>
        <v>1350</v>
      </c>
      <c r="W69" t="s">
        <v>27</v>
      </c>
      <c r="X69" t="s">
        <v>49</v>
      </c>
      <c r="Y69" t="s">
        <v>172</v>
      </c>
    </row>
    <row r="70" spans="1:26" ht="18" customHeight="1">
      <c r="A70" s="7" t="s">
        <v>20</v>
      </c>
      <c r="B70" s="7" t="s">
        <v>21</v>
      </c>
      <c r="C70" s="8" t="s">
        <v>127</v>
      </c>
      <c r="D70" s="9" t="s">
        <v>23</v>
      </c>
      <c r="E70" s="10" t="s">
        <v>203</v>
      </c>
      <c r="F70" s="10" t="s">
        <v>203</v>
      </c>
      <c r="G70" s="11" t="s">
        <v>181</v>
      </c>
      <c r="H70" s="13">
        <v>1</v>
      </c>
      <c r="I70" s="13">
        <f t="shared" si="4"/>
        <v>0</v>
      </c>
      <c r="J70" s="13">
        <f t="shared" si="4"/>
        <v>964</v>
      </c>
      <c r="K70" s="14">
        <v>1</v>
      </c>
      <c r="L70" s="15"/>
      <c r="M70" s="15">
        <f>K70*964</f>
        <v>964</v>
      </c>
      <c r="N70" s="16">
        <f>K70</f>
        <v>1</v>
      </c>
      <c r="O70" s="17"/>
      <c r="P70" s="17">
        <f>M70</f>
        <v>964</v>
      </c>
      <c r="Q70" s="18">
        <v>1</v>
      </c>
      <c r="R70" s="19"/>
      <c r="S70" s="19">
        <v>964</v>
      </c>
      <c r="T70" s="20">
        <v>1</v>
      </c>
      <c r="U70" s="21"/>
      <c r="V70" s="21">
        <v>964</v>
      </c>
      <c r="W70" t="s">
        <v>27</v>
      </c>
      <c r="X70" t="s">
        <v>49</v>
      </c>
    </row>
    <row r="71" spans="1:26">
      <c r="A71" s="22" t="s">
        <v>32</v>
      </c>
      <c r="B71" s="22" t="s">
        <v>33</v>
      </c>
      <c r="C71" s="8" t="s">
        <v>38</v>
      </c>
      <c r="D71" s="9" t="s">
        <v>23</v>
      </c>
      <c r="E71" s="10" t="s">
        <v>204</v>
      </c>
      <c r="F71" s="10" t="s">
        <v>205</v>
      </c>
      <c r="G71" s="32" t="s">
        <v>206</v>
      </c>
      <c r="H71" s="33"/>
      <c r="I71" s="33"/>
      <c r="J71" s="33"/>
      <c r="K71" s="34">
        <v>1</v>
      </c>
      <c r="L71" s="35"/>
      <c r="M71" s="35">
        <f>'[1]Other BOM'!B25*K71</f>
        <v>11780</v>
      </c>
      <c r="N71" s="16">
        <v>1</v>
      </c>
      <c r="O71" s="17">
        <v>0</v>
      </c>
      <c r="P71" s="17">
        <f>'[1]Other BOM'!B25*K71</f>
        <v>11780</v>
      </c>
      <c r="Q71" s="18">
        <v>1</v>
      </c>
      <c r="R71" s="19">
        <v>0</v>
      </c>
      <c r="S71" s="19">
        <f>'[1]Other BOM'!B25*K71</f>
        <v>11780</v>
      </c>
      <c r="T71" s="20">
        <v>1</v>
      </c>
      <c r="U71" s="21">
        <v>0</v>
      </c>
      <c r="V71" s="21">
        <f>'[1]Other BOM'!B25*K71</f>
        <v>11780</v>
      </c>
      <c r="W71" t="s">
        <v>27</v>
      </c>
      <c r="X71" t="s">
        <v>27</v>
      </c>
    </row>
    <row r="72" spans="1:26">
      <c r="A72" s="7" t="s">
        <v>20</v>
      </c>
      <c r="B72" s="7" t="s">
        <v>21</v>
      </c>
      <c r="C72" s="8" t="s">
        <v>38</v>
      </c>
      <c r="D72" s="9" t="s">
        <v>23</v>
      </c>
      <c r="E72" s="10" t="s">
        <v>207</v>
      </c>
      <c r="F72" s="10" t="s">
        <v>208</v>
      </c>
      <c r="G72" s="11" t="s">
        <v>209</v>
      </c>
      <c r="H72" s="13">
        <v>1</v>
      </c>
      <c r="I72" s="13">
        <f>L72</f>
        <v>0</v>
      </c>
      <c r="J72" s="13">
        <f>M72</f>
        <v>810</v>
      </c>
      <c r="K72" s="14">
        <v>1</v>
      </c>
      <c r="L72" s="15"/>
      <c r="M72" s="15">
        <f>K72*'[1]Other BOM'!B20</f>
        <v>810</v>
      </c>
      <c r="N72" s="16">
        <f>K72</f>
        <v>1</v>
      </c>
      <c r="O72" s="17"/>
      <c r="P72" s="17">
        <f>N72*'[1]Other BOM'!B20</f>
        <v>810</v>
      </c>
      <c r="Q72" s="18">
        <f>K72</f>
        <v>1</v>
      </c>
      <c r="R72" s="19"/>
      <c r="S72" s="19">
        <f>Q72*'[1]Other BOM'!B20</f>
        <v>810</v>
      </c>
      <c r="T72" s="20">
        <f>K72</f>
        <v>1</v>
      </c>
      <c r="U72" s="21"/>
      <c r="V72" s="21">
        <f>T72*'[1]Other BOM'!B20</f>
        <v>810</v>
      </c>
      <c r="W72" t="s">
        <v>27</v>
      </c>
      <c r="X72" t="s">
        <v>49</v>
      </c>
      <c r="Y72">
        <v>13</v>
      </c>
      <c r="Z72" t="s">
        <v>210</v>
      </c>
    </row>
    <row r="73" spans="1:26">
      <c r="A73" s="7" t="s">
        <v>20</v>
      </c>
      <c r="B73" s="7" t="s">
        <v>21</v>
      </c>
      <c r="C73" s="8" t="s">
        <v>127</v>
      </c>
      <c r="D73" s="9" t="s">
        <v>23</v>
      </c>
      <c r="E73" s="10" t="s">
        <v>211</v>
      </c>
      <c r="F73" s="10" t="s">
        <v>212</v>
      </c>
      <c r="G73" s="11" t="s">
        <v>213</v>
      </c>
      <c r="H73" s="13">
        <v>1</v>
      </c>
      <c r="I73" s="13">
        <f>L73</f>
        <v>0</v>
      </c>
      <c r="J73" s="13" t="e">
        <f>M73+#REF!</f>
        <v>#REF!</v>
      </c>
      <c r="K73" s="14">
        <v>1</v>
      </c>
      <c r="L73" s="15"/>
      <c r="M73" s="15">
        <f>K73*'[1]Other BOM'!B46</f>
        <v>450</v>
      </c>
      <c r="N73" s="16">
        <f>K73</f>
        <v>1</v>
      </c>
      <c r="O73" s="17"/>
      <c r="P73" s="17">
        <f>N73*'[1]Other BOM'!B46</f>
        <v>450</v>
      </c>
      <c r="Q73" s="18">
        <v>1</v>
      </c>
      <c r="R73" s="19"/>
      <c r="S73" s="19">
        <f>Q73*'[1]Other BOM'!B46</f>
        <v>450</v>
      </c>
      <c r="T73" s="20">
        <v>1</v>
      </c>
      <c r="U73" s="21"/>
      <c r="V73" s="21">
        <f>T73*'[1]Other BOM'!B46</f>
        <v>450</v>
      </c>
      <c r="W73" t="s">
        <v>27</v>
      </c>
      <c r="X73" t="s">
        <v>49</v>
      </c>
    </row>
    <row r="74" spans="1:26">
      <c r="A74" s="7" t="s">
        <v>20</v>
      </c>
      <c r="B74" s="7" t="s">
        <v>21</v>
      </c>
      <c r="C74" s="8" t="s">
        <v>38</v>
      </c>
      <c r="D74" s="9" t="s">
        <v>34</v>
      </c>
      <c r="E74" s="10" t="s">
        <v>214</v>
      </c>
      <c r="F74" s="10" t="s">
        <v>78</v>
      </c>
      <c r="G74" s="11" t="s">
        <v>66</v>
      </c>
      <c r="H74" s="13">
        <v>0</v>
      </c>
      <c r="I74" s="13">
        <v>0</v>
      </c>
      <c r="J74" s="13">
        <f t="shared" ref="J74:J85" si="5">M74</f>
        <v>0</v>
      </c>
      <c r="K74" s="14">
        <v>33</v>
      </c>
      <c r="L74" s="15">
        <f>K74*'[1]Other BOM'!B29</f>
        <v>127050</v>
      </c>
      <c r="M74" s="27"/>
      <c r="N74" s="16">
        <f>3+(K74*1.1)</f>
        <v>39.300000000000004</v>
      </c>
      <c r="O74" s="17">
        <f>N74*'[1]Other BOM'!B29</f>
        <v>151305.00000000003</v>
      </c>
      <c r="P74" s="17"/>
      <c r="Q74" s="18">
        <f>8+(K74*1.1)</f>
        <v>44.300000000000004</v>
      </c>
      <c r="R74" s="19">
        <f>Q74*'[1]Other BOM'!B29</f>
        <v>170555.00000000003</v>
      </c>
      <c r="S74" s="19"/>
      <c r="T74" s="20">
        <f>12+(K74*1.1)</f>
        <v>48.300000000000004</v>
      </c>
      <c r="U74" s="21">
        <f>T74*'[1]Other BOM'!B29</f>
        <v>185955.00000000003</v>
      </c>
      <c r="V74" s="21"/>
      <c r="W74" t="s">
        <v>27</v>
      </c>
    </row>
    <row r="75" spans="1:26">
      <c r="A75" s="7" t="s">
        <v>20</v>
      </c>
      <c r="B75" s="7" t="s">
        <v>21</v>
      </c>
      <c r="C75" s="8" t="s">
        <v>38</v>
      </c>
      <c r="D75" s="9" t="s">
        <v>34</v>
      </c>
      <c r="E75" s="10" t="s">
        <v>214</v>
      </c>
      <c r="F75" s="10" t="s">
        <v>78</v>
      </c>
      <c r="G75" s="11" t="s">
        <v>68</v>
      </c>
      <c r="H75" s="13">
        <v>63</v>
      </c>
      <c r="I75" s="13">
        <v>282300</v>
      </c>
      <c r="J75" s="13">
        <f t="shared" si="5"/>
        <v>0</v>
      </c>
      <c r="K75" s="14">
        <f>47+10</f>
        <v>57</v>
      </c>
      <c r="L75" s="15">
        <f>K75*'[1]Other BOM'!B29</f>
        <v>219450</v>
      </c>
      <c r="M75" s="27"/>
      <c r="N75" s="16">
        <f>K75*1.1</f>
        <v>62.7</v>
      </c>
      <c r="O75" s="17">
        <f>N75*'[1]Other BOM'!B29</f>
        <v>241395</v>
      </c>
      <c r="P75" s="17"/>
      <c r="Q75" s="18">
        <f>N75*1.1</f>
        <v>68.970000000000013</v>
      </c>
      <c r="R75" s="19">
        <f>Q75*'[1]Other BOM'!B29</f>
        <v>265534.50000000006</v>
      </c>
      <c r="S75" s="19"/>
      <c r="T75" s="20">
        <f>Q75*1.1</f>
        <v>75.867000000000019</v>
      </c>
      <c r="U75" s="21">
        <f>T75*'[1]Other BOM'!B29</f>
        <v>292087.95000000007</v>
      </c>
      <c r="V75" s="21"/>
      <c r="W75" s="53" t="s">
        <v>215</v>
      </c>
    </row>
    <row r="76" spans="1:26">
      <c r="A76" s="7" t="s">
        <v>20</v>
      </c>
      <c r="B76" s="7" t="s">
        <v>21</v>
      </c>
      <c r="C76" s="8" t="s">
        <v>38</v>
      </c>
      <c r="D76" s="9" t="s">
        <v>34</v>
      </c>
      <c r="E76" s="10" t="s">
        <v>214</v>
      </c>
      <c r="F76" s="10" t="s">
        <v>216</v>
      </c>
      <c r="G76" s="11" t="s">
        <v>217</v>
      </c>
      <c r="H76" s="13">
        <v>0</v>
      </c>
      <c r="I76" s="13">
        <v>0</v>
      </c>
      <c r="J76" s="13">
        <f t="shared" si="5"/>
        <v>0</v>
      </c>
      <c r="K76" s="14">
        <v>1</v>
      </c>
      <c r="L76" s="15">
        <f>K76*'[1]Other BOM'!B61</f>
        <v>15000</v>
      </c>
      <c r="M76" s="27"/>
      <c r="N76" s="16"/>
      <c r="O76" s="17"/>
      <c r="P76" s="17"/>
      <c r="Q76" s="18"/>
      <c r="R76" s="19"/>
      <c r="S76" s="19"/>
      <c r="T76" s="20"/>
      <c r="U76" s="21"/>
      <c r="V76" s="21"/>
      <c r="W76" t="s">
        <v>27</v>
      </c>
    </row>
    <row r="77" spans="1:26">
      <c r="A77" s="7" t="s">
        <v>20</v>
      </c>
      <c r="B77" s="7" t="s">
        <v>21</v>
      </c>
      <c r="C77" s="8" t="s">
        <v>38</v>
      </c>
      <c r="D77" s="9" t="s">
        <v>34</v>
      </c>
      <c r="E77" s="10" t="s">
        <v>214</v>
      </c>
      <c r="F77" s="10" t="s">
        <v>216</v>
      </c>
      <c r="G77" s="11" t="s">
        <v>218</v>
      </c>
      <c r="H77" s="13">
        <v>3</v>
      </c>
      <c r="I77" s="13">
        <v>19617</v>
      </c>
      <c r="J77" s="13">
        <f t="shared" si="5"/>
        <v>0</v>
      </c>
      <c r="K77" s="14">
        <v>2</v>
      </c>
      <c r="L77" s="15">
        <f>K77*'[1]Other BOM'!B61</f>
        <v>30000</v>
      </c>
      <c r="M77" s="27"/>
      <c r="N77" s="16"/>
      <c r="O77" s="17"/>
      <c r="P77" s="17"/>
      <c r="Q77" s="18"/>
      <c r="R77" s="19"/>
      <c r="S77" s="19"/>
      <c r="T77" s="20"/>
      <c r="U77" s="21"/>
      <c r="V77" s="21"/>
      <c r="W77" t="s">
        <v>27</v>
      </c>
    </row>
    <row r="78" spans="1:26">
      <c r="A78" s="7" t="s">
        <v>20</v>
      </c>
      <c r="B78" s="7" t="s">
        <v>21</v>
      </c>
      <c r="C78" s="8" t="s">
        <v>38</v>
      </c>
      <c r="D78" s="9" t="s">
        <v>34</v>
      </c>
      <c r="E78" s="10" t="s">
        <v>219</v>
      </c>
      <c r="F78" s="10" t="s">
        <v>216</v>
      </c>
      <c r="G78" s="11" t="s">
        <v>66</v>
      </c>
      <c r="H78" s="13">
        <v>0</v>
      </c>
      <c r="I78" s="13">
        <v>0</v>
      </c>
      <c r="J78" s="13">
        <f t="shared" si="5"/>
        <v>0</v>
      </c>
      <c r="K78" s="14">
        <v>1</v>
      </c>
      <c r="L78" s="15">
        <f>K78*'[1]Other BOM'!B34</f>
        <v>5000</v>
      </c>
      <c r="M78" s="27"/>
      <c r="N78" s="16">
        <f>K78</f>
        <v>1</v>
      </c>
      <c r="O78" s="17">
        <f>N78*'[1]Other BOM'!B34</f>
        <v>5000</v>
      </c>
      <c r="P78" s="17"/>
      <c r="Q78" s="18">
        <v>31</v>
      </c>
      <c r="R78" s="19">
        <f>Q78*'[1]Other BOM'!B34</f>
        <v>155000</v>
      </c>
      <c r="S78" s="19"/>
      <c r="T78" s="20">
        <v>31</v>
      </c>
      <c r="U78" s="21">
        <f>T78*'[1]Other BOM'!B34</f>
        <v>155000</v>
      </c>
      <c r="V78" s="21"/>
      <c r="W78" t="s">
        <v>27</v>
      </c>
    </row>
    <row r="79" spans="1:26">
      <c r="A79" s="7" t="s">
        <v>20</v>
      </c>
      <c r="B79" s="7" t="s">
        <v>21</v>
      </c>
      <c r="C79" s="8" t="s">
        <v>38</v>
      </c>
      <c r="D79" s="9" t="s">
        <v>34</v>
      </c>
      <c r="E79" s="10" t="s">
        <v>219</v>
      </c>
      <c r="F79" s="10" t="s">
        <v>216</v>
      </c>
      <c r="G79" s="11" t="s">
        <v>220</v>
      </c>
      <c r="H79" s="13">
        <v>1</v>
      </c>
      <c r="I79" s="13">
        <v>15000</v>
      </c>
      <c r="J79" s="13">
        <f t="shared" si="5"/>
        <v>0</v>
      </c>
      <c r="K79" s="14">
        <v>20</v>
      </c>
      <c r="L79" s="15">
        <f>K79*'[1]Other BOM'!B34</f>
        <v>100000</v>
      </c>
      <c r="M79" s="27"/>
      <c r="N79" s="16">
        <f>(K79*10%)+K79</f>
        <v>22</v>
      </c>
      <c r="O79" s="17">
        <f>N79*'[1]Other BOM'!B34</f>
        <v>110000</v>
      </c>
      <c r="P79" s="17"/>
      <c r="Q79" s="18">
        <f>(N79*10%)+N79</f>
        <v>24.2</v>
      </c>
      <c r="R79" s="19">
        <f>Q79*'[1]Other BOM'!B34</f>
        <v>121000</v>
      </c>
      <c r="S79" s="19"/>
      <c r="T79" s="20">
        <f>(Q79*10%)+Q79</f>
        <v>26.619999999999997</v>
      </c>
      <c r="U79" s="21">
        <f>T79*'[1]Other BOM'!B34</f>
        <v>133100</v>
      </c>
      <c r="V79" s="21"/>
      <c r="W79" t="s">
        <v>27</v>
      </c>
    </row>
    <row r="80" spans="1:26">
      <c r="A80" s="7" t="s">
        <v>20</v>
      </c>
      <c r="B80" s="7" t="s">
        <v>21</v>
      </c>
      <c r="C80" s="8" t="s">
        <v>38</v>
      </c>
      <c r="D80" s="9" t="s">
        <v>34</v>
      </c>
      <c r="E80" s="10" t="s">
        <v>219</v>
      </c>
      <c r="F80" s="10" t="s">
        <v>221</v>
      </c>
      <c r="G80" s="11" t="s">
        <v>66</v>
      </c>
      <c r="H80" s="13">
        <v>0</v>
      </c>
      <c r="I80" s="13">
        <v>0</v>
      </c>
      <c r="J80" s="13">
        <f t="shared" si="5"/>
        <v>0</v>
      </c>
      <c r="K80" s="14">
        <v>21</v>
      </c>
      <c r="L80" s="15">
        <f>K80*'[1]Other BOM'!B33</f>
        <v>42000</v>
      </c>
      <c r="M80" s="27"/>
      <c r="N80" s="16">
        <f>K80*1.1</f>
        <v>23.1</v>
      </c>
      <c r="O80" s="17">
        <f>N80*'[1]Other BOM'!B33</f>
        <v>46200</v>
      </c>
      <c r="P80" s="17"/>
      <c r="Q80" s="18">
        <f>N80*1.1</f>
        <v>25.410000000000004</v>
      </c>
      <c r="R80" s="19">
        <f>Q80*'[1]Other BOM'!B33</f>
        <v>50820.000000000007</v>
      </c>
      <c r="S80" s="19"/>
      <c r="T80" s="20">
        <f>Q80*1.1</f>
        <v>27.951000000000008</v>
      </c>
      <c r="U80" s="21">
        <f>T80*'[1]Other BOM'!B33</f>
        <v>55902.000000000015</v>
      </c>
      <c r="V80" s="21"/>
      <c r="W80" t="s">
        <v>27</v>
      </c>
    </row>
    <row r="81" spans="1:24">
      <c r="A81" s="7" t="s">
        <v>20</v>
      </c>
      <c r="B81" s="7" t="s">
        <v>21</v>
      </c>
      <c r="C81" s="8" t="s">
        <v>38</v>
      </c>
      <c r="D81" s="9" t="s">
        <v>34</v>
      </c>
      <c r="E81" s="10" t="s">
        <v>219</v>
      </c>
      <c r="F81" s="10" t="s">
        <v>221</v>
      </c>
      <c r="G81" s="11" t="s">
        <v>220</v>
      </c>
      <c r="H81" s="13">
        <v>65</v>
      </c>
      <c r="I81" s="13">
        <v>84000</v>
      </c>
      <c r="J81" s="13">
        <f t="shared" si="5"/>
        <v>0</v>
      </c>
      <c r="K81" s="14">
        <f>K64+K66</f>
        <v>11</v>
      </c>
      <c r="L81" s="15">
        <f>K81*'[1]Other BOM'!B33</f>
        <v>22000</v>
      </c>
      <c r="M81" s="27"/>
      <c r="N81" s="16">
        <f>N64+N66</f>
        <v>11</v>
      </c>
      <c r="O81" s="17">
        <f>N81*'[1]Other BOM'!B33</f>
        <v>22000</v>
      </c>
      <c r="P81" s="17"/>
      <c r="Q81" s="18">
        <f>Q64+Q66</f>
        <v>12</v>
      </c>
      <c r="R81" s="19">
        <f>Q81*'[1]Other BOM'!B33</f>
        <v>24000</v>
      </c>
      <c r="S81" s="19"/>
      <c r="T81" s="20">
        <f>T64+T66</f>
        <v>13</v>
      </c>
      <c r="U81" s="21">
        <f>T81*'[1]Other BOM'!B33</f>
        <v>26000</v>
      </c>
      <c r="V81" s="21"/>
      <c r="W81" t="s">
        <v>27</v>
      </c>
    </row>
    <row r="82" spans="1:24">
      <c r="A82" s="7" t="s">
        <v>20</v>
      </c>
      <c r="B82" s="7" t="s">
        <v>21</v>
      </c>
      <c r="C82" s="8" t="s">
        <v>38</v>
      </c>
      <c r="D82" s="9" t="s">
        <v>34</v>
      </c>
      <c r="E82" s="10" t="s">
        <v>222</v>
      </c>
      <c r="F82" s="10" t="s">
        <v>223</v>
      </c>
      <c r="G82" s="11" t="s">
        <v>66</v>
      </c>
      <c r="H82" s="13">
        <v>0</v>
      </c>
      <c r="I82" s="13">
        <v>0</v>
      </c>
      <c r="J82" s="13">
        <f t="shared" si="5"/>
        <v>0</v>
      </c>
      <c r="K82" s="14">
        <v>26</v>
      </c>
      <c r="L82" s="15">
        <f>K82*'[1]Other BOM'!B30</f>
        <v>12480</v>
      </c>
      <c r="M82" s="27"/>
      <c r="N82" s="16">
        <f>K82*1.1</f>
        <v>28.6</v>
      </c>
      <c r="O82" s="17">
        <f>N82*'[1]Other BOM'!B30</f>
        <v>13728</v>
      </c>
      <c r="P82" s="17"/>
      <c r="Q82" s="18">
        <f>N82*1.1</f>
        <v>31.460000000000004</v>
      </c>
      <c r="R82" s="19">
        <f>Q82*'[1]Other BOM'!B30</f>
        <v>15100.800000000003</v>
      </c>
      <c r="S82" s="19"/>
      <c r="T82" s="20">
        <f>Q82*1.1</f>
        <v>34.606000000000009</v>
      </c>
      <c r="U82" s="21">
        <f>T82*'[1]Other BOM'!B30</f>
        <v>16610.880000000005</v>
      </c>
      <c r="V82" s="21"/>
      <c r="W82" t="s">
        <v>27</v>
      </c>
    </row>
    <row r="83" spans="1:24">
      <c r="A83" s="7" t="s">
        <v>20</v>
      </c>
      <c r="B83" s="7" t="s">
        <v>21</v>
      </c>
      <c r="C83" s="8" t="s">
        <v>38</v>
      </c>
      <c r="D83" s="9" t="s">
        <v>34</v>
      </c>
      <c r="E83" s="10" t="s">
        <v>222</v>
      </c>
      <c r="F83" s="10" t="s">
        <v>223</v>
      </c>
      <c r="G83" s="11" t="s">
        <v>84</v>
      </c>
      <c r="H83" s="13">
        <v>25</v>
      </c>
      <c r="I83" s="13">
        <v>18600</v>
      </c>
      <c r="J83" s="13">
        <f t="shared" si="5"/>
        <v>0</v>
      </c>
      <c r="K83" s="14">
        <v>25</v>
      </c>
      <c r="L83" s="15">
        <f>K83*'[1]Other BOM'!B30</f>
        <v>12000</v>
      </c>
      <c r="M83" s="27"/>
      <c r="N83" s="16">
        <f>N77+N79</f>
        <v>22</v>
      </c>
      <c r="O83" s="17">
        <f>N83*'[1]Other BOM'!B30</f>
        <v>10560</v>
      </c>
      <c r="P83" s="17"/>
      <c r="Q83" s="18">
        <f>Q77+Q79</f>
        <v>24.2</v>
      </c>
      <c r="R83" s="19">
        <f>Q83*'[1]Other BOM'!B30</f>
        <v>11616</v>
      </c>
      <c r="S83" s="19"/>
      <c r="T83" s="20">
        <f>T77+T79</f>
        <v>26.619999999999997</v>
      </c>
      <c r="U83" s="21">
        <f>T83*'[1]Other BOM'!B30</f>
        <v>12777.599999999999</v>
      </c>
      <c r="V83" s="21"/>
      <c r="W83" t="s">
        <v>27</v>
      </c>
      <c r="X83" s="54"/>
    </row>
    <row r="84" spans="1:24">
      <c r="A84" s="7" t="s">
        <v>20</v>
      </c>
      <c r="B84" s="7" t="s">
        <v>21</v>
      </c>
      <c r="C84" s="8" t="s">
        <v>38</v>
      </c>
      <c r="D84" s="9" t="s">
        <v>34</v>
      </c>
      <c r="E84" s="10" t="s">
        <v>222</v>
      </c>
      <c r="F84" s="10" t="s">
        <v>224</v>
      </c>
      <c r="G84" s="11" t="s">
        <v>84</v>
      </c>
      <c r="H84" s="13">
        <v>0</v>
      </c>
      <c r="I84" s="13">
        <v>0</v>
      </c>
      <c r="J84" s="13">
        <f t="shared" si="5"/>
        <v>0</v>
      </c>
      <c r="K84" s="14">
        <v>3</v>
      </c>
      <c r="L84" s="15">
        <f>K84*3500</f>
        <v>10500</v>
      </c>
      <c r="M84" s="27"/>
      <c r="N84" s="16"/>
      <c r="O84" s="17"/>
      <c r="P84" s="17"/>
      <c r="Q84" s="18"/>
      <c r="R84" s="19"/>
      <c r="S84" s="19"/>
      <c r="T84" s="20"/>
      <c r="U84" s="21"/>
      <c r="V84" s="21"/>
      <c r="W84" t="s">
        <v>27</v>
      </c>
      <c r="X84" s="54"/>
    </row>
    <row r="85" spans="1:24">
      <c r="A85" s="7" t="s">
        <v>20</v>
      </c>
      <c r="B85" s="7" t="s">
        <v>21</v>
      </c>
      <c r="C85" s="8" t="s">
        <v>57</v>
      </c>
      <c r="D85" s="9" t="s">
        <v>34</v>
      </c>
      <c r="E85" s="10" t="s">
        <v>225</v>
      </c>
      <c r="F85" s="10" t="s">
        <v>226</v>
      </c>
      <c r="G85" s="11" t="s">
        <v>227</v>
      </c>
      <c r="H85" s="12">
        <v>1</v>
      </c>
      <c r="I85" s="13">
        <f>L85</f>
        <v>17000</v>
      </c>
      <c r="J85" s="13">
        <f t="shared" si="5"/>
        <v>0</v>
      </c>
      <c r="K85" s="14">
        <v>1</v>
      </c>
      <c r="L85" s="15">
        <f>K85*'[1]Other BOM'!B38</f>
        <v>17000</v>
      </c>
      <c r="M85" s="27"/>
      <c r="N85" s="16">
        <v>1</v>
      </c>
      <c r="O85" s="17">
        <f>N85*'[1]Other BOM'!B38</f>
        <v>17000</v>
      </c>
      <c r="P85" s="17"/>
      <c r="Q85" s="18">
        <v>1</v>
      </c>
      <c r="R85" s="19">
        <f>Q85*'[1]Other BOM'!B38</f>
        <v>17000</v>
      </c>
      <c r="S85" s="19"/>
      <c r="T85" s="20">
        <v>1</v>
      </c>
      <c r="U85" s="21">
        <f>T85*'[1]Other BOM'!B38</f>
        <v>17000</v>
      </c>
      <c r="V85" s="21"/>
      <c r="W85" t="s">
        <v>27</v>
      </c>
      <c r="X85" s="54"/>
    </row>
    <row r="86" spans="1:24">
      <c r="A86" s="22" t="s">
        <v>32</v>
      </c>
      <c r="B86" s="22" t="s">
        <v>33</v>
      </c>
      <c r="C86" s="8" t="s">
        <v>57</v>
      </c>
      <c r="D86" s="9" t="s">
        <v>34</v>
      </c>
      <c r="E86" s="10" t="s">
        <v>228</v>
      </c>
      <c r="F86" s="10" t="s">
        <v>40</v>
      </c>
      <c r="G86" s="23" t="s">
        <v>229</v>
      </c>
      <c r="H86" s="24"/>
      <c r="I86" s="24"/>
      <c r="J86" s="24"/>
      <c r="K86" s="25">
        <v>9</v>
      </c>
      <c r="L86" s="26">
        <f>K86*'[1]Other BOM'!B5</f>
        <v>13500</v>
      </c>
      <c r="M86" s="27"/>
      <c r="N86" s="16"/>
      <c r="O86" s="17"/>
      <c r="P86" s="17"/>
      <c r="Q86" s="18"/>
      <c r="R86" s="19"/>
      <c r="S86" s="19"/>
      <c r="T86" s="20"/>
      <c r="U86" s="21"/>
      <c r="V86" s="21"/>
      <c r="W86" t="s">
        <v>27</v>
      </c>
      <c r="X86" s="54"/>
    </row>
    <row r="87" spans="1:24">
      <c r="A87" s="7" t="s">
        <v>20</v>
      </c>
      <c r="B87" s="7" t="s">
        <v>21</v>
      </c>
      <c r="C87" s="8" t="s">
        <v>38</v>
      </c>
      <c r="D87" s="9" t="s">
        <v>34</v>
      </c>
      <c r="E87" s="10" t="s">
        <v>230</v>
      </c>
      <c r="F87" s="10" t="s">
        <v>231</v>
      </c>
      <c r="G87" s="9" t="s">
        <v>84</v>
      </c>
      <c r="H87" s="28">
        <v>7</v>
      </c>
      <c r="I87" s="28">
        <v>60500</v>
      </c>
      <c r="J87" s="28">
        <f>M87</f>
        <v>0</v>
      </c>
      <c r="K87" s="29">
        <v>6</v>
      </c>
      <c r="L87" s="27">
        <f>K87*1500</f>
        <v>9000</v>
      </c>
      <c r="M87" s="27"/>
      <c r="N87" s="16"/>
      <c r="O87" s="17"/>
      <c r="P87" s="17"/>
      <c r="Q87" s="18"/>
      <c r="R87" s="19"/>
      <c r="S87" s="19"/>
      <c r="T87" s="20"/>
      <c r="U87" s="21"/>
      <c r="V87" s="21"/>
      <c r="W87" t="s">
        <v>27</v>
      </c>
      <c r="X87" s="55"/>
    </row>
    <row r="88" spans="1:24">
      <c r="A88" s="7" t="s">
        <v>20</v>
      </c>
      <c r="B88" s="7" t="s">
        <v>21</v>
      </c>
      <c r="C88" s="8" t="s">
        <v>57</v>
      </c>
      <c r="D88" s="9" t="s">
        <v>34</v>
      </c>
      <c r="E88" s="10" t="s">
        <v>42</v>
      </c>
      <c r="F88" s="10" t="s">
        <v>231</v>
      </c>
      <c r="G88" s="47" t="s">
        <v>232</v>
      </c>
      <c r="H88" s="56">
        <v>1</v>
      </c>
      <c r="I88" s="48" t="e">
        <f>#REF!+#REF!+#REF!+#REF!+#REF!+#REF!+#REF!+#REF!</f>
        <v>#REF!</v>
      </c>
      <c r="J88" s="48"/>
      <c r="K88" s="49">
        <v>1</v>
      </c>
      <c r="L88" s="50">
        <f>'[1]Other BOM'!B68</f>
        <v>50000</v>
      </c>
      <c r="M88" s="27"/>
      <c r="N88" s="16">
        <v>0</v>
      </c>
      <c r="O88" s="17"/>
      <c r="P88" s="17"/>
      <c r="Q88" s="18">
        <v>0</v>
      </c>
      <c r="R88" s="19"/>
      <c r="S88" s="19"/>
      <c r="T88" s="20"/>
      <c r="U88" s="21"/>
      <c r="V88" s="21"/>
      <c r="W88" t="s">
        <v>27</v>
      </c>
      <c r="X88" s="55"/>
    </row>
    <row r="89" spans="1:24">
      <c r="A89" s="7" t="s">
        <v>20</v>
      </c>
      <c r="B89" s="7" t="s">
        <v>21</v>
      </c>
      <c r="C89" s="8" t="s">
        <v>38</v>
      </c>
      <c r="D89" s="9" t="s">
        <v>34</v>
      </c>
      <c r="E89" s="10" t="s">
        <v>233</v>
      </c>
      <c r="F89" s="10" t="s">
        <v>40</v>
      </c>
      <c r="G89" s="47" t="s">
        <v>234</v>
      </c>
      <c r="H89" s="48"/>
      <c r="I89" s="48"/>
      <c r="J89" s="48"/>
      <c r="K89" s="49">
        <v>1</v>
      </c>
      <c r="L89" s="50">
        <v>5000</v>
      </c>
      <c r="M89" s="27"/>
      <c r="N89" s="16">
        <v>1</v>
      </c>
      <c r="O89" s="17">
        <v>5000</v>
      </c>
      <c r="P89" s="17"/>
      <c r="Q89" s="18">
        <v>1</v>
      </c>
      <c r="R89" s="19">
        <v>5000</v>
      </c>
      <c r="S89" s="19"/>
      <c r="T89" s="20">
        <v>1</v>
      </c>
      <c r="U89" s="21">
        <v>5000</v>
      </c>
      <c r="V89" s="21"/>
      <c r="W89" s="31" t="s">
        <v>27</v>
      </c>
    </row>
    <row r="90" spans="1:24">
      <c r="A90" s="7" t="s">
        <v>20</v>
      </c>
      <c r="B90" s="7" t="s">
        <v>21</v>
      </c>
      <c r="C90" s="8" t="s">
        <v>60</v>
      </c>
      <c r="D90" s="9" t="s">
        <v>34</v>
      </c>
      <c r="E90" s="10" t="s">
        <v>94</v>
      </c>
      <c r="F90" s="10" t="s">
        <v>40</v>
      </c>
      <c r="G90" s="23" t="s">
        <v>235</v>
      </c>
      <c r="H90" s="24"/>
      <c r="I90" s="24"/>
      <c r="J90" s="24"/>
      <c r="K90" s="25">
        <v>1</v>
      </c>
      <c r="L90" s="26">
        <v>100000</v>
      </c>
      <c r="M90" s="27"/>
      <c r="N90" s="16"/>
      <c r="O90" s="17"/>
      <c r="P90" s="17"/>
      <c r="Q90" s="18"/>
      <c r="R90" s="19"/>
      <c r="S90" s="19"/>
      <c r="T90" s="20"/>
      <c r="U90" s="21"/>
      <c r="V90" s="21"/>
      <c r="W90" t="s">
        <v>27</v>
      </c>
    </row>
    <row r="91" spans="1:24">
      <c r="A91" s="7" t="s">
        <v>20</v>
      </c>
      <c r="B91" s="7" t="s">
        <v>21</v>
      </c>
      <c r="C91" s="8" t="s">
        <v>60</v>
      </c>
      <c r="D91" s="9" t="s">
        <v>34</v>
      </c>
      <c r="E91" s="10" t="s">
        <v>236</v>
      </c>
      <c r="F91" s="10" t="s">
        <v>95</v>
      </c>
      <c r="G91" s="23" t="s">
        <v>66</v>
      </c>
      <c r="H91" s="24">
        <v>1</v>
      </c>
      <c r="I91" s="24" t="e">
        <f>#REF!+#REF!+#REF!</f>
        <v>#REF!</v>
      </c>
      <c r="J91" s="24">
        <f>M91</f>
        <v>0</v>
      </c>
      <c r="K91" s="25">
        <v>2</v>
      </c>
      <c r="L91" s="26">
        <f>K91*'[1]Other BOM'!B17</f>
        <v>30000</v>
      </c>
      <c r="M91" s="27"/>
      <c r="N91" s="16">
        <v>2</v>
      </c>
      <c r="O91" s="17">
        <f>N91*'[1]Other BOM'!B17</f>
        <v>30000</v>
      </c>
      <c r="P91" s="17"/>
      <c r="Q91" s="18">
        <v>2</v>
      </c>
      <c r="R91" s="19">
        <f>Q91*'[1]Other BOM'!B17</f>
        <v>30000</v>
      </c>
      <c r="S91" s="19"/>
      <c r="T91" s="20"/>
      <c r="U91" s="21"/>
      <c r="V91" s="21"/>
      <c r="W91" t="s">
        <v>27</v>
      </c>
    </row>
    <row r="92" spans="1:24">
      <c r="A92" s="7" t="s">
        <v>20</v>
      </c>
      <c r="B92" s="7" t="s">
        <v>21</v>
      </c>
      <c r="C92" s="8" t="s">
        <v>57</v>
      </c>
      <c r="D92" s="9" t="s">
        <v>34</v>
      </c>
      <c r="E92" s="10" t="s">
        <v>237</v>
      </c>
      <c r="F92" s="10" t="s">
        <v>238</v>
      </c>
      <c r="G92" s="9" t="s">
        <v>66</v>
      </c>
      <c r="H92" s="28">
        <v>1</v>
      </c>
      <c r="I92" s="28">
        <v>1200</v>
      </c>
      <c r="J92" s="28">
        <f>M92</f>
        <v>0</v>
      </c>
      <c r="K92" s="29">
        <v>4</v>
      </c>
      <c r="L92" s="27">
        <f>K92*'[1]Other BOM'!B16</f>
        <v>5400</v>
      </c>
      <c r="M92" s="27"/>
      <c r="N92" s="16">
        <v>4</v>
      </c>
      <c r="O92" s="17">
        <f>N92*'[1]Other BOM'!B16</f>
        <v>5400</v>
      </c>
      <c r="P92" s="17"/>
      <c r="Q92" s="18">
        <v>4</v>
      </c>
      <c r="R92" s="19">
        <f>4*'[1]Other BOM'!B16</f>
        <v>5400</v>
      </c>
      <c r="S92" s="19"/>
      <c r="T92" s="20">
        <v>4</v>
      </c>
      <c r="U92" s="21">
        <f>'[1]Other BOM'!B16*T92</f>
        <v>5400</v>
      </c>
      <c r="V92" s="21"/>
      <c r="W92" t="s">
        <v>27</v>
      </c>
    </row>
    <row r="93" spans="1:24">
      <c r="A93" s="7" t="s">
        <v>20</v>
      </c>
      <c r="B93" s="7" t="s">
        <v>21</v>
      </c>
      <c r="C93" s="8" t="s">
        <v>38</v>
      </c>
      <c r="D93" s="9" t="s">
        <v>34</v>
      </c>
      <c r="E93" s="10" t="s">
        <v>239</v>
      </c>
      <c r="F93" s="10" t="s">
        <v>221</v>
      </c>
      <c r="G93" s="47" t="s">
        <v>240</v>
      </c>
      <c r="H93" s="48">
        <v>0</v>
      </c>
      <c r="I93" s="48">
        <v>0</v>
      </c>
      <c r="J93" s="48">
        <f>M93</f>
        <v>0</v>
      </c>
      <c r="K93" s="49">
        <v>1</v>
      </c>
      <c r="L93" s="50">
        <v>35000</v>
      </c>
      <c r="M93" s="27"/>
      <c r="N93" s="16"/>
      <c r="O93" s="17"/>
      <c r="P93" s="17"/>
      <c r="Q93" s="18"/>
      <c r="R93" s="19"/>
      <c r="S93" s="19"/>
      <c r="T93" s="20"/>
      <c r="U93" s="21"/>
      <c r="V93" s="21"/>
      <c r="W93" t="s">
        <v>27</v>
      </c>
    </row>
    <row r="94" spans="1:24">
      <c r="A94" s="7" t="s">
        <v>20</v>
      </c>
      <c r="B94" s="7" t="s">
        <v>21</v>
      </c>
      <c r="C94" s="8" t="s">
        <v>38</v>
      </c>
      <c r="D94" s="9" t="s">
        <v>34</v>
      </c>
      <c r="E94" s="10" t="s">
        <v>241</v>
      </c>
      <c r="F94" s="10" t="s">
        <v>242</v>
      </c>
      <c r="G94" s="47" t="s">
        <v>243</v>
      </c>
      <c r="H94" s="48">
        <v>8</v>
      </c>
      <c r="I94" s="48" t="e">
        <f>21299+#REF!</f>
        <v>#REF!</v>
      </c>
      <c r="J94" s="48">
        <f>M94</f>
        <v>0</v>
      </c>
      <c r="K94" s="49">
        <v>12</v>
      </c>
      <c r="L94" s="50">
        <f>K94*'[1]Other BOM'!B35</f>
        <v>42000</v>
      </c>
      <c r="M94" s="27"/>
      <c r="N94" s="16">
        <v>4</v>
      </c>
      <c r="O94" s="17">
        <f>N94*'[1]Other BOM'!B35</f>
        <v>14000</v>
      </c>
      <c r="P94" s="17"/>
      <c r="Q94" s="18">
        <v>4</v>
      </c>
      <c r="R94" s="19">
        <f>Q94*'[1]Other BOM'!B35</f>
        <v>14000</v>
      </c>
      <c r="S94" s="19"/>
      <c r="T94" s="20">
        <v>4</v>
      </c>
      <c r="U94" s="21">
        <f>T94*'[1]Other BOM'!B35</f>
        <v>14000</v>
      </c>
      <c r="V94" s="21"/>
      <c r="W94" t="s">
        <v>27</v>
      </c>
    </row>
    <row r="95" spans="1:24">
      <c r="A95" s="22" t="s">
        <v>32</v>
      </c>
      <c r="B95" s="22" t="s">
        <v>33</v>
      </c>
      <c r="C95" s="8" t="s">
        <v>57</v>
      </c>
      <c r="D95" s="9" t="s">
        <v>34</v>
      </c>
      <c r="E95" s="10" t="s">
        <v>244</v>
      </c>
      <c r="F95" s="10" t="s">
        <v>62</v>
      </c>
      <c r="G95" s="9" t="s">
        <v>245</v>
      </c>
      <c r="H95" s="28"/>
      <c r="I95" s="28"/>
      <c r="J95" s="28"/>
      <c r="K95" s="29">
        <v>10</v>
      </c>
      <c r="L95" s="27">
        <f>K95*'[1]Other BOM'!B4</f>
        <v>15000</v>
      </c>
      <c r="M95" s="27"/>
      <c r="N95" s="16">
        <v>10</v>
      </c>
      <c r="O95" s="17">
        <f>N95*'[1]Other BOM'!B4</f>
        <v>15000</v>
      </c>
      <c r="P95" s="17"/>
      <c r="Q95" s="18">
        <v>10</v>
      </c>
      <c r="R95" s="19">
        <f>Q95*'[1]Other BOM'!B4</f>
        <v>15000</v>
      </c>
      <c r="S95" s="19"/>
      <c r="T95" s="20">
        <v>10</v>
      </c>
      <c r="U95" s="21">
        <f>T95*'[1]Other BOM'!B4</f>
        <v>15000</v>
      </c>
      <c r="V95" s="21"/>
      <c r="W95" t="s">
        <v>27</v>
      </c>
    </row>
    <row r="96" spans="1:24">
      <c r="A96" s="7" t="s">
        <v>20</v>
      </c>
      <c r="B96" s="7" t="s">
        <v>21</v>
      </c>
      <c r="C96" s="8" t="s">
        <v>38</v>
      </c>
      <c r="D96" s="9" t="s">
        <v>34</v>
      </c>
      <c r="E96" s="10" t="s">
        <v>246</v>
      </c>
      <c r="F96" s="10" t="s">
        <v>247</v>
      </c>
      <c r="G96" s="47" t="s">
        <v>248</v>
      </c>
      <c r="H96" s="48">
        <v>0</v>
      </c>
      <c r="I96" s="48">
        <v>0</v>
      </c>
      <c r="J96" s="48">
        <f>M96</f>
        <v>0</v>
      </c>
      <c r="K96" s="49">
        <v>2</v>
      </c>
      <c r="L96" s="50">
        <f>K96*'[1]Other BOM'!B37</f>
        <v>13000</v>
      </c>
      <c r="M96" s="27"/>
      <c r="N96" s="16">
        <v>1</v>
      </c>
      <c r="O96" s="17">
        <f>N96*'[1]Other BOM'!B37</f>
        <v>6500</v>
      </c>
      <c r="P96" s="17"/>
      <c r="Q96" s="18">
        <v>1</v>
      </c>
      <c r="R96" s="19">
        <f>Q96*'[1]Other BOM'!B37</f>
        <v>6500</v>
      </c>
      <c r="S96" s="19"/>
      <c r="T96" s="20">
        <v>1</v>
      </c>
      <c r="U96" s="21">
        <f>T96*'[1]Other BOM'!B37</f>
        <v>6500</v>
      </c>
      <c r="V96" s="21"/>
      <c r="W96" t="s">
        <v>27</v>
      </c>
    </row>
    <row r="97" spans="1:24">
      <c r="A97" s="22" t="s">
        <v>32</v>
      </c>
      <c r="B97" s="22" t="s">
        <v>33</v>
      </c>
      <c r="C97" s="8" t="s">
        <v>38</v>
      </c>
      <c r="D97" s="9" t="s">
        <v>23</v>
      </c>
      <c r="E97" s="10" t="s">
        <v>249</v>
      </c>
      <c r="F97" s="10" t="s">
        <v>250</v>
      </c>
      <c r="G97" s="47" t="s">
        <v>251</v>
      </c>
      <c r="H97" s="48"/>
      <c r="I97" s="48"/>
      <c r="J97" s="48"/>
      <c r="K97" s="49">
        <v>34</v>
      </c>
      <c r="L97" s="50"/>
      <c r="M97" s="50">
        <f>K97*'[1]Other BOM'!B36</f>
        <v>24225</v>
      </c>
      <c r="N97" s="16">
        <f>K97+N85</f>
        <v>35</v>
      </c>
      <c r="O97" s="17">
        <f>N85*'[1]Other BOM'!B36</f>
        <v>712.5</v>
      </c>
      <c r="P97" s="17">
        <f>K97*'[1]Other BOM'!B36</f>
        <v>24225</v>
      </c>
      <c r="Q97" s="18">
        <f>N97+Q85</f>
        <v>36</v>
      </c>
      <c r="R97" s="19">
        <f>Q85*'[1]Other BOM'!B36</f>
        <v>712.5</v>
      </c>
      <c r="S97" s="19">
        <f>N97*'[1]Other BOM'!B36</f>
        <v>24937.5</v>
      </c>
      <c r="T97" s="20">
        <f>Q97+T85</f>
        <v>37</v>
      </c>
      <c r="U97" s="21">
        <f>T85*'[1]Other BOM'!B36</f>
        <v>712.5</v>
      </c>
      <c r="V97" s="21">
        <f>Q97*'[1]Other BOM'!B36</f>
        <v>25650</v>
      </c>
      <c r="W97" t="s">
        <v>27</v>
      </c>
      <c r="X97" t="s">
        <v>49</v>
      </c>
    </row>
    <row r="98" spans="1:24">
      <c r="A98" s="22" t="s">
        <v>32</v>
      </c>
      <c r="B98" s="22" t="s">
        <v>33</v>
      </c>
      <c r="C98" s="8" t="s">
        <v>127</v>
      </c>
      <c r="D98" s="9" t="s">
        <v>23</v>
      </c>
      <c r="E98" s="10" t="s">
        <v>252</v>
      </c>
      <c r="F98" s="10" t="s">
        <v>157</v>
      </c>
      <c r="G98" s="32" t="s">
        <v>253</v>
      </c>
      <c r="H98" s="33"/>
      <c r="I98" s="33"/>
      <c r="J98" s="33"/>
      <c r="K98" s="34">
        <f>30*52*1</f>
        <v>1560</v>
      </c>
      <c r="L98" s="35"/>
      <c r="M98" s="35">
        <f>K98*'[1]Other BOM'!B54</f>
        <v>31200</v>
      </c>
      <c r="N98" s="16">
        <f>K98</f>
        <v>1560</v>
      </c>
      <c r="O98" s="17"/>
      <c r="P98" s="17">
        <f>N98*'[1]Other BOM'!B54</f>
        <v>31200</v>
      </c>
      <c r="Q98" s="18">
        <f>K98</f>
        <v>1560</v>
      </c>
      <c r="R98" s="19"/>
      <c r="S98" s="19">
        <f>Q98*'[1]Other BOM'!B54</f>
        <v>31200</v>
      </c>
      <c r="T98" s="20">
        <f>K98</f>
        <v>1560</v>
      </c>
      <c r="U98" s="21"/>
      <c r="V98" s="21">
        <f>T98*'[1]Other BOM'!B54</f>
        <v>31200</v>
      </c>
      <c r="W98" t="s">
        <v>27</v>
      </c>
      <c r="X98" t="s">
        <v>82</v>
      </c>
    </row>
    <row r="99" spans="1:24">
      <c r="A99" s="7" t="s">
        <v>20</v>
      </c>
      <c r="B99" s="7" t="s">
        <v>21</v>
      </c>
      <c r="C99" s="8" t="s">
        <v>124</v>
      </c>
      <c r="D99" s="9" t="s">
        <v>254</v>
      </c>
      <c r="E99" s="10" t="s">
        <v>255</v>
      </c>
      <c r="F99" s="10" t="s">
        <v>199</v>
      </c>
      <c r="G99" s="9" t="s">
        <v>256</v>
      </c>
      <c r="H99" s="28">
        <v>1</v>
      </c>
      <c r="I99" s="28"/>
      <c r="J99" s="28">
        <f>M99</f>
        <v>399624.51374999998</v>
      </c>
      <c r="K99" s="29">
        <v>1</v>
      </c>
      <c r="L99" s="38"/>
      <c r="M99" s="27">
        <v>399624.51374999998</v>
      </c>
      <c r="N99" s="16"/>
      <c r="O99" s="17"/>
      <c r="P99" s="17">
        <v>399624.51374999998</v>
      </c>
      <c r="Q99" s="18"/>
      <c r="R99" s="19"/>
      <c r="S99" s="19"/>
      <c r="T99" s="20"/>
      <c r="U99" s="21"/>
      <c r="V99" s="21"/>
      <c r="W99" t="s">
        <v>27</v>
      </c>
      <c r="X99" t="s">
        <v>27</v>
      </c>
    </row>
    <row r="100" spans="1:24">
      <c r="A100" s="7" t="s">
        <v>20</v>
      </c>
      <c r="B100" s="7" t="s">
        <v>21</v>
      </c>
      <c r="C100" s="8" t="s">
        <v>124</v>
      </c>
      <c r="D100" s="9" t="s">
        <v>23</v>
      </c>
      <c r="E100" s="10" t="s">
        <v>257</v>
      </c>
      <c r="F100" s="10" t="s">
        <v>199</v>
      </c>
      <c r="G100" s="9" t="s">
        <v>258</v>
      </c>
      <c r="H100" s="28">
        <v>1</v>
      </c>
      <c r="I100" s="28"/>
      <c r="J100" s="28">
        <f>M100</f>
        <v>292372.5</v>
      </c>
      <c r="K100" s="29">
        <v>1</v>
      </c>
      <c r="L100" s="38"/>
      <c r="M100" s="27">
        <v>292372.5</v>
      </c>
      <c r="N100" s="16"/>
      <c r="O100" s="17"/>
      <c r="P100" s="17">
        <f>213352*1.1*3.75 /3</f>
        <v>293359</v>
      </c>
      <c r="Q100" s="18"/>
      <c r="R100" s="19"/>
      <c r="S100" s="19">
        <f>P100</f>
        <v>293359</v>
      </c>
      <c r="T100" s="20"/>
      <c r="U100" s="21"/>
      <c r="V100" s="21">
        <f>P100</f>
        <v>293359</v>
      </c>
      <c r="W100" t="s">
        <v>27</v>
      </c>
      <c r="X100" t="s">
        <v>27</v>
      </c>
    </row>
    <row r="101" spans="1:24">
      <c r="A101" s="7" t="s">
        <v>20</v>
      </c>
      <c r="B101" s="7" t="s">
        <v>21</v>
      </c>
      <c r="C101" s="8" t="s">
        <v>124</v>
      </c>
      <c r="D101" s="9" t="s">
        <v>254</v>
      </c>
      <c r="E101" s="10" t="s">
        <v>259</v>
      </c>
      <c r="F101" s="10" t="s">
        <v>260</v>
      </c>
      <c r="G101" s="9" t="s">
        <v>261</v>
      </c>
      <c r="H101" s="28">
        <v>1</v>
      </c>
      <c r="I101" s="28"/>
      <c r="J101" s="28">
        <f>M101</f>
        <v>742500</v>
      </c>
      <c r="K101" s="29">
        <v>1</v>
      </c>
      <c r="L101" s="38"/>
      <c r="M101" s="27">
        <f>16500*12*3.75</f>
        <v>742500</v>
      </c>
      <c r="N101" s="16"/>
      <c r="O101" s="17"/>
      <c r="P101" s="17">
        <f>16500*12*3.75</f>
        <v>742500</v>
      </c>
      <c r="Q101" s="18"/>
      <c r="R101" s="19"/>
      <c r="S101" s="19">
        <f>P101</f>
        <v>742500</v>
      </c>
      <c r="T101" s="57"/>
      <c r="U101" s="57"/>
      <c r="V101" s="58">
        <f>S101</f>
        <v>742500</v>
      </c>
      <c r="W101" t="s">
        <v>27</v>
      </c>
      <c r="X101" t="s">
        <v>27</v>
      </c>
    </row>
    <row r="102" spans="1:24" ht="15.75" customHeight="1">
      <c r="A102" s="37" t="s">
        <v>98</v>
      </c>
      <c r="B102" s="37" t="s">
        <v>262</v>
      </c>
      <c r="C102" s="8" t="s">
        <v>124</v>
      </c>
      <c r="D102" s="59" t="s">
        <v>23</v>
      </c>
      <c r="E102" s="37" t="s">
        <v>263</v>
      </c>
      <c r="F102" s="37" t="s">
        <v>199</v>
      </c>
      <c r="G102" s="60" t="s">
        <v>264</v>
      </c>
      <c r="H102" s="28"/>
      <c r="I102" s="28"/>
      <c r="J102" s="28"/>
      <c r="K102" s="29">
        <v>1</v>
      </c>
      <c r="L102" s="38"/>
      <c r="M102" s="38">
        <f>('[1]Final SAP BOM'!L98)</f>
        <v>964186.875</v>
      </c>
      <c r="N102" s="16"/>
      <c r="O102" s="17"/>
      <c r="P102" s="17">
        <f>('[1]Final SAP BOM'!R98) *1.033</f>
        <v>1770755.0418749999</v>
      </c>
      <c r="Q102" s="18"/>
      <c r="R102" s="19"/>
      <c r="S102" s="19">
        <f>('[1]Final SAP BOM'!S98)*1.033</f>
        <v>4666542.9530598568</v>
      </c>
      <c r="T102" s="20"/>
      <c r="U102" s="21"/>
      <c r="V102" s="21">
        <f>('[1]Final SAP BOM'!T98)*1.033</f>
        <v>4722770.434309857</v>
      </c>
      <c r="W102" s="61"/>
      <c r="X102" s="62"/>
    </row>
    <row r="103" spans="1:24">
      <c r="A103" s="37" t="s">
        <v>98</v>
      </c>
      <c r="B103" s="37" t="s">
        <v>262</v>
      </c>
      <c r="C103" s="8" t="s">
        <v>124</v>
      </c>
      <c r="D103" s="59" t="s">
        <v>105</v>
      </c>
      <c r="E103" s="37" t="s">
        <v>265</v>
      </c>
      <c r="F103" s="37" t="s">
        <v>199</v>
      </c>
      <c r="G103" s="9" t="s">
        <v>266</v>
      </c>
      <c r="H103" s="28"/>
      <c r="I103" s="28"/>
      <c r="J103" s="28"/>
      <c r="K103" s="29">
        <v>1</v>
      </c>
      <c r="L103" s="38">
        <f>2000000*0.3*3.75</f>
        <v>2250000</v>
      </c>
      <c r="M103" s="38"/>
      <c r="N103" s="16"/>
      <c r="O103" s="17">
        <f>2000000*0.3*3.75</f>
        <v>2250000</v>
      </c>
      <c r="P103" s="17"/>
      <c r="Q103" s="18"/>
      <c r="R103" s="19">
        <f>2000000*0.3*3.75</f>
        <v>2250000</v>
      </c>
      <c r="S103" s="19"/>
      <c r="T103" s="20"/>
      <c r="U103" s="21">
        <f>2000000*0.1*3.75</f>
        <v>750000</v>
      </c>
      <c r="V103" s="21"/>
    </row>
    <row r="104" spans="1:24" ht="17.25" customHeight="1">
      <c r="A104" s="37" t="s">
        <v>98</v>
      </c>
      <c r="B104" s="37" t="s">
        <v>262</v>
      </c>
      <c r="C104" s="8" t="s">
        <v>124</v>
      </c>
      <c r="D104" s="9" t="s">
        <v>120</v>
      </c>
      <c r="E104" s="37" t="s">
        <v>267</v>
      </c>
      <c r="F104" s="37" t="s">
        <v>122</v>
      </c>
      <c r="G104" s="9" t="s">
        <v>268</v>
      </c>
      <c r="H104" s="28"/>
      <c r="I104" s="28"/>
      <c r="J104" s="28"/>
      <c r="K104" s="29">
        <v>1</v>
      </c>
      <c r="L104" s="38"/>
      <c r="M104" s="27">
        <f>K104*26000*12*1.75*(6/12)</f>
        <v>273000</v>
      </c>
      <c r="N104" s="16"/>
      <c r="O104" s="17"/>
      <c r="P104" s="17">
        <f>M104*2*(1+3/100)</f>
        <v>562380</v>
      </c>
      <c r="Q104" s="18"/>
      <c r="R104" s="19"/>
      <c r="S104" s="19">
        <f t="shared" ref="S104:S105" si="6">P104*(1+3/100)</f>
        <v>579251.4</v>
      </c>
      <c r="T104" s="20"/>
      <c r="U104" s="21"/>
      <c r="V104" s="21">
        <f>S104*(1+3/100)</f>
        <v>596628.94200000004</v>
      </c>
    </row>
    <row r="105" spans="1:24" ht="15.75" customHeight="1">
      <c r="A105" s="37" t="s">
        <v>98</v>
      </c>
      <c r="B105" s="37" t="s">
        <v>262</v>
      </c>
      <c r="C105" s="8" t="s">
        <v>124</v>
      </c>
      <c r="D105" s="9" t="s">
        <v>120</v>
      </c>
      <c r="E105" s="37" t="s">
        <v>267</v>
      </c>
      <c r="F105" s="37" t="s">
        <v>122</v>
      </c>
      <c r="G105" s="60" t="s">
        <v>269</v>
      </c>
      <c r="H105" s="63"/>
      <c r="I105" s="28"/>
      <c r="J105" s="28"/>
      <c r="K105" s="29">
        <v>1</v>
      </c>
      <c r="L105" s="38"/>
      <c r="M105" s="27">
        <f>K105*26000*12*1.75*(6/12)</f>
        <v>273000</v>
      </c>
      <c r="N105" s="16"/>
      <c r="O105" s="17"/>
      <c r="P105" s="17">
        <f t="shared" ref="P105" si="7">M105*2*(1+3/100)</f>
        <v>562380</v>
      </c>
      <c r="Q105" s="18"/>
      <c r="R105" s="19"/>
      <c r="S105" s="19">
        <f t="shared" si="6"/>
        <v>579251.4</v>
      </c>
      <c r="T105" s="20"/>
      <c r="U105" s="21"/>
      <c r="V105" s="21">
        <f t="shared" ref="V105" si="8">S105*(1+3/100)</f>
        <v>596628.94200000004</v>
      </c>
    </row>
    <row r="106" spans="1:24">
      <c r="A106" s="37" t="s">
        <v>98</v>
      </c>
      <c r="B106" s="37" t="s">
        <v>262</v>
      </c>
      <c r="C106" s="8" t="s">
        <v>124</v>
      </c>
      <c r="D106" s="9" t="s">
        <v>120</v>
      </c>
      <c r="E106" s="37" t="s">
        <v>270</v>
      </c>
      <c r="F106" s="37" t="s">
        <v>122</v>
      </c>
      <c r="G106" s="9" t="s">
        <v>271</v>
      </c>
      <c r="H106" s="28"/>
      <c r="I106" s="28"/>
      <c r="J106" s="28"/>
      <c r="K106" s="29">
        <v>1</v>
      </c>
      <c r="L106" s="38"/>
      <c r="M106" s="38">
        <f>K106*2000*3.75*12*(6/12)*1.91</f>
        <v>85950</v>
      </c>
      <c r="N106" s="16"/>
      <c r="O106" s="17"/>
      <c r="P106" s="17">
        <f>M106*2*(1+3/100)</f>
        <v>177057</v>
      </c>
      <c r="Q106" s="18"/>
      <c r="R106" s="19"/>
      <c r="S106" s="19">
        <f>P106*(1+3/100)</f>
        <v>182368.71</v>
      </c>
      <c r="T106" s="20"/>
      <c r="U106" s="21"/>
      <c r="V106" s="21">
        <f>S106*(1+3/100)</f>
        <v>187839.77129999999</v>
      </c>
    </row>
    <row r="107" spans="1:24">
      <c r="A107" s="37" t="s">
        <v>98</v>
      </c>
      <c r="B107" s="37" t="s">
        <v>262</v>
      </c>
      <c r="C107" s="8" t="s">
        <v>124</v>
      </c>
      <c r="D107" s="9" t="s">
        <v>120</v>
      </c>
      <c r="E107" s="37" t="s">
        <v>270</v>
      </c>
      <c r="F107" s="37" t="s">
        <v>122</v>
      </c>
      <c r="G107" s="9" t="s">
        <v>272</v>
      </c>
      <c r="H107" s="28"/>
      <c r="I107" s="28"/>
      <c r="J107" s="28"/>
      <c r="K107" s="29">
        <v>1</v>
      </c>
      <c r="L107" s="38"/>
      <c r="M107" s="38">
        <f t="shared" ref="M107:M109" si="9">K107*2000*3.75*12*(6/12)*1.91</f>
        <v>85950</v>
      </c>
      <c r="N107" s="16"/>
      <c r="O107" s="17"/>
      <c r="P107" s="17">
        <f t="shared" ref="P107:P111" si="10">M107*2*(1+3/100)</f>
        <v>177057</v>
      </c>
      <c r="Q107" s="18"/>
      <c r="R107" s="19"/>
      <c r="S107" s="19">
        <f t="shared" ref="S107:S109" si="11">P107*(1+3/100)</f>
        <v>182368.71</v>
      </c>
      <c r="T107" s="20"/>
      <c r="U107" s="21"/>
      <c r="V107" s="21">
        <f t="shared" ref="V107:V109" si="12">S107*(1+3/100)</f>
        <v>187839.77129999999</v>
      </c>
    </row>
    <row r="108" spans="1:24">
      <c r="A108" s="37" t="s">
        <v>98</v>
      </c>
      <c r="B108" s="37" t="s">
        <v>262</v>
      </c>
      <c r="C108" s="8" t="s">
        <v>124</v>
      </c>
      <c r="D108" s="9" t="s">
        <v>120</v>
      </c>
      <c r="E108" s="37" t="s">
        <v>270</v>
      </c>
      <c r="F108" s="37" t="s">
        <v>122</v>
      </c>
      <c r="G108" s="9" t="s">
        <v>273</v>
      </c>
      <c r="H108" s="28"/>
      <c r="I108" s="28"/>
      <c r="J108" s="28"/>
      <c r="K108" s="29">
        <v>1</v>
      </c>
      <c r="L108" s="38"/>
      <c r="M108" s="38">
        <f t="shared" si="9"/>
        <v>85950</v>
      </c>
      <c r="N108" s="16"/>
      <c r="O108" s="17"/>
      <c r="P108" s="17">
        <f t="shared" si="10"/>
        <v>177057</v>
      </c>
      <c r="Q108" s="18"/>
      <c r="R108" s="19"/>
      <c r="S108" s="19">
        <f t="shared" si="11"/>
        <v>182368.71</v>
      </c>
      <c r="T108" s="20"/>
      <c r="U108" s="21"/>
      <c r="V108" s="21">
        <f t="shared" si="12"/>
        <v>187839.77129999999</v>
      </c>
    </row>
    <row r="109" spans="1:24">
      <c r="A109" s="37" t="s">
        <v>98</v>
      </c>
      <c r="B109" s="37" t="s">
        <v>262</v>
      </c>
      <c r="C109" s="8" t="s">
        <v>124</v>
      </c>
      <c r="D109" s="9" t="s">
        <v>120</v>
      </c>
      <c r="E109" s="37" t="s">
        <v>270</v>
      </c>
      <c r="F109" s="37" t="s">
        <v>122</v>
      </c>
      <c r="G109" s="9" t="s">
        <v>274</v>
      </c>
      <c r="H109" s="28"/>
      <c r="I109" s="28"/>
      <c r="J109" s="28"/>
      <c r="K109" s="29">
        <v>1</v>
      </c>
      <c r="L109" s="38"/>
      <c r="M109" s="38">
        <f t="shared" si="9"/>
        <v>85950</v>
      </c>
      <c r="N109" s="16"/>
      <c r="O109" s="17"/>
      <c r="P109" s="17">
        <f>M109*2*(1+3/100)</f>
        <v>177057</v>
      </c>
      <c r="Q109" s="18"/>
      <c r="R109" s="19"/>
      <c r="S109" s="19">
        <f t="shared" si="11"/>
        <v>182368.71</v>
      </c>
      <c r="T109" s="20"/>
      <c r="U109" s="21"/>
      <c r="V109" s="21">
        <f t="shared" si="12"/>
        <v>187839.77129999999</v>
      </c>
    </row>
    <row r="110" spans="1:24">
      <c r="A110" s="37" t="s">
        <v>98</v>
      </c>
      <c r="B110" s="37" t="s">
        <v>262</v>
      </c>
      <c r="C110" s="8" t="s">
        <v>124</v>
      </c>
      <c r="D110" s="9" t="s">
        <v>120</v>
      </c>
      <c r="E110" s="37" t="s">
        <v>275</v>
      </c>
      <c r="F110" s="37" t="s">
        <v>122</v>
      </c>
      <c r="G110" s="9" t="s">
        <v>276</v>
      </c>
      <c r="H110" s="28"/>
      <c r="I110" s="28"/>
      <c r="J110" s="28"/>
      <c r="K110" s="29">
        <v>1</v>
      </c>
      <c r="L110" s="38"/>
      <c r="M110" s="38">
        <f>K110*3000*3.75*12*(6/12)*1.91</f>
        <v>128925</v>
      </c>
      <c r="N110" s="16"/>
      <c r="O110" s="17"/>
      <c r="P110" s="17">
        <f t="shared" ref="P110" si="13">M110*2*(1+3/100)</f>
        <v>265585.5</v>
      </c>
      <c r="Q110" s="18"/>
      <c r="R110" s="19"/>
      <c r="S110" s="19">
        <f>P110*(1+3/100)</f>
        <v>273553.065</v>
      </c>
      <c r="T110" s="20"/>
      <c r="U110" s="21"/>
      <c r="V110" s="21">
        <f>S110*(1+3/100)</f>
        <v>281759.65695000003</v>
      </c>
    </row>
    <row r="111" spans="1:24">
      <c r="A111" s="37" t="s">
        <v>98</v>
      </c>
      <c r="B111" s="37" t="s">
        <v>262</v>
      </c>
      <c r="C111" s="8" t="s">
        <v>124</v>
      </c>
      <c r="D111" s="9" t="s">
        <v>120</v>
      </c>
      <c r="E111" s="37" t="s">
        <v>277</v>
      </c>
      <c r="F111" s="37" t="s">
        <v>122</v>
      </c>
      <c r="G111" s="9" t="s">
        <v>278</v>
      </c>
      <c r="H111" s="28"/>
      <c r="I111" s="28"/>
      <c r="J111" s="28"/>
      <c r="K111" s="29">
        <v>1</v>
      </c>
      <c r="L111" s="38"/>
      <c r="M111" s="38">
        <f>K111*3000*3.75*12*(6/12)*1.91</f>
        <v>128925</v>
      </c>
      <c r="N111" s="16"/>
      <c r="O111" s="17"/>
      <c r="P111" s="17">
        <f t="shared" si="10"/>
        <v>265585.5</v>
      </c>
      <c r="Q111" s="18"/>
      <c r="R111" s="19"/>
      <c r="S111" s="19">
        <f>P111*(1+3/100)</f>
        <v>273553.065</v>
      </c>
      <c r="T111" s="20"/>
      <c r="U111" s="21"/>
      <c r="V111" s="21">
        <f>S111*(1+3/100)</f>
        <v>281759.65695000003</v>
      </c>
    </row>
    <row r="112" spans="1:24">
      <c r="A112" s="37" t="s">
        <v>98</v>
      </c>
      <c r="B112" s="37" t="s">
        <v>262</v>
      </c>
      <c r="C112" s="8" t="s">
        <v>124</v>
      </c>
      <c r="D112" s="9" t="s">
        <v>120</v>
      </c>
      <c r="E112" s="37" t="s">
        <v>279</v>
      </c>
      <c r="F112" s="37" t="s">
        <v>122</v>
      </c>
      <c r="G112" s="9" t="s">
        <v>280</v>
      </c>
      <c r="H112" s="28"/>
      <c r="I112" s="28"/>
      <c r="J112" s="28"/>
      <c r="K112" s="29">
        <v>6</v>
      </c>
      <c r="L112" s="38"/>
      <c r="M112" s="38">
        <f>K112*(2*(5000+(3000/3)+(30*200)+2000))</f>
        <v>168000</v>
      </c>
      <c r="N112" s="16"/>
      <c r="O112" s="17"/>
      <c r="P112" s="17">
        <f>M112*2</f>
        <v>336000</v>
      </c>
      <c r="Q112" s="18"/>
      <c r="R112" s="19"/>
      <c r="S112" s="19">
        <f t="shared" ref="S112" si="14">P112*1.05</f>
        <v>352800</v>
      </c>
      <c r="T112" s="20"/>
      <c r="U112" s="21"/>
      <c r="V112" s="21">
        <f t="shared" ref="V112" si="15">S112*1.05</f>
        <v>370440</v>
      </c>
    </row>
    <row r="113" spans="1:24">
      <c r="A113" s="37" t="s">
        <v>98</v>
      </c>
      <c r="B113" s="37" t="s">
        <v>262</v>
      </c>
      <c r="C113" s="8" t="s">
        <v>124</v>
      </c>
      <c r="D113" s="9" t="s">
        <v>120</v>
      </c>
      <c r="E113" s="37" t="s">
        <v>281</v>
      </c>
      <c r="F113" s="37" t="s">
        <v>122</v>
      </c>
      <c r="G113" s="9" t="s">
        <v>282</v>
      </c>
      <c r="H113" s="28"/>
      <c r="I113" s="28"/>
      <c r="J113" s="28"/>
      <c r="K113" s="29">
        <f>5*2</f>
        <v>10</v>
      </c>
      <c r="L113" s="38"/>
      <c r="M113" s="38">
        <f>K113*1400*3.75</f>
        <v>52500</v>
      </c>
      <c r="N113" s="16"/>
      <c r="O113" s="17"/>
      <c r="P113" s="17">
        <f>M113*1.05</f>
        <v>55125</v>
      </c>
      <c r="Q113" s="18"/>
      <c r="R113" s="19"/>
      <c r="S113" s="19">
        <f>P113*1.05</f>
        <v>57881.25</v>
      </c>
      <c r="T113" s="20"/>
      <c r="U113" s="21"/>
      <c r="V113" s="21">
        <f>S113*1.05</f>
        <v>60775.3125</v>
      </c>
    </row>
    <row r="114" spans="1:24">
      <c r="A114" s="37" t="s">
        <v>98</v>
      </c>
      <c r="B114" s="37" t="s">
        <v>262</v>
      </c>
      <c r="C114" s="8" t="s">
        <v>283</v>
      </c>
      <c r="D114" s="9" t="s">
        <v>105</v>
      </c>
      <c r="E114" s="37" t="s">
        <v>284</v>
      </c>
      <c r="F114" s="37" t="s">
        <v>285</v>
      </c>
      <c r="G114" s="9" t="s">
        <v>286</v>
      </c>
      <c r="H114" s="28"/>
      <c r="I114" s="28"/>
      <c r="J114" s="28"/>
      <c r="K114" s="29">
        <v>1</v>
      </c>
      <c r="L114" s="38">
        <f>3000*3.75</f>
        <v>11250</v>
      </c>
      <c r="M114" s="38"/>
      <c r="N114" s="16"/>
      <c r="O114" s="17"/>
      <c r="P114" s="17"/>
      <c r="Q114" s="18"/>
      <c r="R114" s="19"/>
      <c r="S114" s="19"/>
      <c r="T114" s="20"/>
      <c r="U114" s="21"/>
      <c r="V114" s="21"/>
    </row>
    <row r="115" spans="1:24">
      <c r="A115" s="37" t="s">
        <v>98</v>
      </c>
      <c r="B115" s="37" t="s">
        <v>262</v>
      </c>
      <c r="C115" s="8" t="s">
        <v>283</v>
      </c>
      <c r="D115" s="9" t="s">
        <v>23</v>
      </c>
      <c r="E115" s="37" t="s">
        <v>284</v>
      </c>
      <c r="F115" s="37" t="s">
        <v>285</v>
      </c>
      <c r="G115" s="9" t="s">
        <v>286</v>
      </c>
      <c r="H115" s="28"/>
      <c r="I115" s="28"/>
      <c r="J115" s="28"/>
      <c r="K115" s="29">
        <v>1</v>
      </c>
      <c r="L115" s="38"/>
      <c r="M115" s="38">
        <f>3.75*8500</f>
        <v>31875</v>
      </c>
      <c r="N115" s="16"/>
      <c r="O115" s="17"/>
      <c r="P115" s="17">
        <f>M115*(1+ 3.3/100)</f>
        <v>32926.875</v>
      </c>
      <c r="Q115" s="18"/>
      <c r="R115" s="19"/>
      <c r="S115" s="19">
        <f>P115*(1+ 3.3/100)</f>
        <v>34013.461875000001</v>
      </c>
      <c r="T115" s="20"/>
      <c r="U115" s="21"/>
      <c r="V115" s="21">
        <f>S115*(1+ 3.3/100)</f>
        <v>35135.906116874998</v>
      </c>
    </row>
    <row r="116" spans="1:24">
      <c r="A116" s="37" t="s">
        <v>98</v>
      </c>
      <c r="B116" s="37" t="s">
        <v>287</v>
      </c>
      <c r="C116" s="8" t="s">
        <v>288</v>
      </c>
      <c r="D116" s="9" t="s">
        <v>23</v>
      </c>
      <c r="E116" s="37" t="s">
        <v>289</v>
      </c>
      <c r="F116" s="37" t="s">
        <v>40</v>
      </c>
      <c r="G116" s="9" t="s">
        <v>290</v>
      </c>
      <c r="H116" s="28"/>
      <c r="I116" s="28"/>
      <c r="J116" s="28"/>
      <c r="K116" s="29">
        <v>1</v>
      </c>
      <c r="L116" s="38"/>
      <c r="M116" s="38">
        <f>3.75*50000</f>
        <v>187500</v>
      </c>
      <c r="N116" s="16"/>
      <c r="O116" s="17"/>
      <c r="P116" s="17">
        <f>M116</f>
        <v>187500</v>
      </c>
      <c r="Q116" s="18"/>
      <c r="R116" s="19"/>
      <c r="S116" s="19">
        <f>P116*2</f>
        <v>375000</v>
      </c>
      <c r="T116" s="20"/>
      <c r="U116" s="21"/>
      <c r="V116" s="21">
        <f>M116*2</f>
        <v>375000</v>
      </c>
    </row>
    <row r="117" spans="1:24">
      <c r="A117" s="37" t="s">
        <v>98</v>
      </c>
      <c r="B117" s="37" t="s">
        <v>287</v>
      </c>
      <c r="C117" s="8" t="s">
        <v>288</v>
      </c>
      <c r="D117" s="9" t="s">
        <v>105</v>
      </c>
      <c r="E117" s="37" t="s">
        <v>291</v>
      </c>
      <c r="F117" s="37" t="s">
        <v>138</v>
      </c>
      <c r="G117" s="23" t="s">
        <v>292</v>
      </c>
      <c r="H117" s="24"/>
      <c r="I117" s="24"/>
      <c r="J117" s="24"/>
      <c r="K117" s="25">
        <v>1</v>
      </c>
      <c r="L117" s="26">
        <v>100000</v>
      </c>
      <c r="M117" s="27" t="s">
        <v>293</v>
      </c>
      <c r="N117" s="16" t="s">
        <v>293</v>
      </c>
      <c r="O117" s="17">
        <f>L117</f>
        <v>100000</v>
      </c>
      <c r="P117" s="17" t="s">
        <v>293</v>
      </c>
      <c r="Q117" s="18" t="s">
        <v>293</v>
      </c>
      <c r="R117" s="19">
        <f>O117</f>
        <v>100000</v>
      </c>
      <c r="S117" s="19" t="s">
        <v>293</v>
      </c>
      <c r="T117" s="20" t="s">
        <v>293</v>
      </c>
      <c r="U117" s="21">
        <f>R117</f>
        <v>100000</v>
      </c>
      <c r="V117" s="21" t="s">
        <v>293</v>
      </c>
    </row>
    <row r="118" spans="1:24">
      <c r="A118" s="37" t="s">
        <v>98</v>
      </c>
      <c r="B118" s="37" t="s">
        <v>287</v>
      </c>
      <c r="C118" s="8" t="s">
        <v>288</v>
      </c>
      <c r="D118" s="9" t="s">
        <v>23</v>
      </c>
      <c r="E118" s="37" t="s">
        <v>291</v>
      </c>
      <c r="F118" s="37" t="s">
        <v>138</v>
      </c>
      <c r="G118" s="47" t="s">
        <v>294</v>
      </c>
      <c r="H118" s="48"/>
      <c r="I118" s="48"/>
      <c r="J118" s="48"/>
      <c r="K118" s="49">
        <v>50</v>
      </c>
      <c r="L118" s="50"/>
      <c r="M118" s="50">
        <f>K118*'[1]Other BOM'!B42</f>
        <v>67500</v>
      </c>
      <c r="N118" s="16">
        <v>150</v>
      </c>
      <c r="O118" s="17"/>
      <c r="P118" s="17">
        <f>N118*'[1]Other BOM'!B42</f>
        <v>202500</v>
      </c>
      <c r="Q118" s="18">
        <v>250</v>
      </c>
      <c r="R118" s="19"/>
      <c r="S118" s="19">
        <f>Q118*'[1]Other BOM'!B42</f>
        <v>337500</v>
      </c>
      <c r="T118" s="20">
        <v>350</v>
      </c>
      <c r="U118" s="21"/>
      <c r="V118" s="21">
        <f>T118*360*3.75</f>
        <v>472500</v>
      </c>
    </row>
    <row r="119" spans="1:24">
      <c r="A119" s="37" t="s">
        <v>98</v>
      </c>
      <c r="B119" s="37" t="s">
        <v>287</v>
      </c>
      <c r="C119" s="8" t="s">
        <v>288</v>
      </c>
      <c r="D119" s="9" t="s">
        <v>23</v>
      </c>
      <c r="E119" s="37" t="s">
        <v>295</v>
      </c>
      <c r="F119" s="37" t="s">
        <v>40</v>
      </c>
      <c r="G119" s="47" t="s">
        <v>296</v>
      </c>
      <c r="H119" s="48"/>
      <c r="I119" s="48"/>
      <c r="J119" s="48"/>
      <c r="K119" s="49">
        <v>420</v>
      </c>
      <c r="L119" s="50"/>
      <c r="M119" s="50">
        <f>K119*120*3.75*0.7</f>
        <v>132300</v>
      </c>
      <c r="N119" s="16">
        <f>K119*0.8</f>
        <v>336</v>
      </c>
      <c r="O119" s="17"/>
      <c r="P119" s="17">
        <f>M119*0.8</f>
        <v>105840</v>
      </c>
      <c r="Q119" s="18">
        <f>N119*0.8</f>
        <v>268.8</v>
      </c>
      <c r="R119" s="19"/>
      <c r="S119" s="19">
        <f>P119*0.8</f>
        <v>84672</v>
      </c>
      <c r="T119" s="20">
        <f>Q119*0.8</f>
        <v>215.04000000000002</v>
      </c>
      <c r="U119" s="21"/>
      <c r="V119" s="21">
        <f>S119*0.8</f>
        <v>67737.600000000006</v>
      </c>
    </row>
    <row r="120" spans="1:24">
      <c r="A120" s="7" t="s">
        <v>20</v>
      </c>
      <c r="B120" s="7" t="s">
        <v>21</v>
      </c>
      <c r="C120" s="8" t="s">
        <v>88</v>
      </c>
      <c r="D120" s="9" t="s">
        <v>23</v>
      </c>
      <c r="E120" s="10" t="s">
        <v>297</v>
      </c>
      <c r="F120" s="10" t="s">
        <v>90</v>
      </c>
      <c r="G120" s="11" t="s">
        <v>298</v>
      </c>
      <c r="H120" s="13">
        <v>6</v>
      </c>
      <c r="I120" s="13"/>
      <c r="J120" s="13">
        <f>M120</f>
        <v>114000</v>
      </c>
      <c r="K120" s="14">
        <v>6</v>
      </c>
      <c r="L120" s="15"/>
      <c r="M120" s="15">
        <f>K120*19000</f>
        <v>114000</v>
      </c>
      <c r="N120" s="16">
        <v>8</v>
      </c>
      <c r="O120" s="17"/>
      <c r="P120" s="17">
        <f>N120*19000</f>
        <v>152000</v>
      </c>
      <c r="Q120" s="18">
        <v>10</v>
      </c>
      <c r="R120" s="19"/>
      <c r="S120" s="19">
        <f>Q120*19000</f>
        <v>190000</v>
      </c>
      <c r="T120" s="20">
        <v>10</v>
      </c>
      <c r="U120" s="21"/>
      <c r="V120" s="21">
        <f>T120*19000</f>
        <v>190000</v>
      </c>
      <c r="W120" t="s">
        <v>27</v>
      </c>
      <c r="X120" t="s">
        <v>27</v>
      </c>
    </row>
    <row r="121" spans="1:24" ht="16.5" customHeight="1">
      <c r="A121" s="22" t="s">
        <v>32</v>
      </c>
      <c r="B121" s="22" t="s">
        <v>33</v>
      </c>
      <c r="C121" s="8" t="s">
        <v>88</v>
      </c>
      <c r="D121" s="9" t="s">
        <v>23</v>
      </c>
      <c r="E121" s="36" t="s">
        <v>299</v>
      </c>
      <c r="F121" s="10" t="s">
        <v>80</v>
      </c>
      <c r="G121" s="32" t="s">
        <v>300</v>
      </c>
      <c r="H121" s="33"/>
      <c r="I121" s="33"/>
      <c r="J121" s="33"/>
      <c r="K121" s="34">
        <v>1</v>
      </c>
      <c r="L121" s="35"/>
      <c r="M121" s="35">
        <f>'[1]Other BOM'!B73</f>
        <v>89049.600000000006</v>
      </c>
      <c r="N121" s="16">
        <v>1</v>
      </c>
      <c r="O121" s="17"/>
      <c r="P121" s="17">
        <f>M121</f>
        <v>89049.600000000006</v>
      </c>
      <c r="Q121" s="18">
        <v>1</v>
      </c>
      <c r="R121" s="19"/>
      <c r="S121" s="19">
        <f>P121</f>
        <v>89049.600000000006</v>
      </c>
      <c r="T121" s="20">
        <v>1</v>
      </c>
      <c r="U121" s="21"/>
      <c r="V121" s="21">
        <v>89049.600000000006</v>
      </c>
      <c r="W121" t="s">
        <v>27</v>
      </c>
      <c r="X121" t="s">
        <v>82</v>
      </c>
    </row>
    <row r="122" spans="1:24">
      <c r="A122" s="22" t="s">
        <v>32</v>
      </c>
      <c r="B122" s="22" t="s">
        <v>33</v>
      </c>
      <c r="C122" s="8" t="s">
        <v>88</v>
      </c>
      <c r="D122" s="9" t="s">
        <v>23</v>
      </c>
      <c r="E122" s="36" t="s">
        <v>301</v>
      </c>
      <c r="F122" s="10" t="s">
        <v>80</v>
      </c>
      <c r="G122" s="32" t="s">
        <v>302</v>
      </c>
      <c r="H122" s="33"/>
      <c r="I122" s="33"/>
      <c r="J122" s="33"/>
      <c r="K122" s="34">
        <v>1</v>
      </c>
      <c r="L122" s="35"/>
      <c r="M122" s="35">
        <f>'[1]Other BOM'!B70</f>
        <v>87648.4</v>
      </c>
      <c r="N122" s="16">
        <v>1</v>
      </c>
      <c r="O122" s="17"/>
      <c r="P122" s="17">
        <f>M122</f>
        <v>87648.4</v>
      </c>
      <c r="Q122" s="18">
        <v>1</v>
      </c>
      <c r="R122" s="19"/>
      <c r="S122" s="19">
        <f>P122</f>
        <v>87648.4</v>
      </c>
      <c r="T122" s="20">
        <v>1</v>
      </c>
      <c r="U122" s="21"/>
      <c r="V122" s="21">
        <v>87648.4</v>
      </c>
      <c r="W122" t="s">
        <v>27</v>
      </c>
      <c r="X122" t="s">
        <v>82</v>
      </c>
    </row>
    <row r="123" spans="1:24">
      <c r="A123" s="7" t="s">
        <v>20</v>
      </c>
      <c r="B123" s="7" t="s">
        <v>21</v>
      </c>
      <c r="C123" s="8" t="s">
        <v>88</v>
      </c>
      <c r="D123" s="9" t="s">
        <v>23</v>
      </c>
      <c r="E123" s="10" t="s">
        <v>303</v>
      </c>
      <c r="F123" s="10" t="s">
        <v>205</v>
      </c>
      <c r="G123" s="32" t="s">
        <v>304</v>
      </c>
      <c r="H123" s="33">
        <v>1</v>
      </c>
      <c r="I123" s="33">
        <f>L123</f>
        <v>0</v>
      </c>
      <c r="J123" s="33">
        <f>M123</f>
        <v>50000</v>
      </c>
      <c r="K123" s="34">
        <v>1</v>
      </c>
      <c r="L123" s="35"/>
      <c r="M123" s="35">
        <f>K123*50000</f>
        <v>50000</v>
      </c>
      <c r="N123" s="16">
        <v>1</v>
      </c>
      <c r="O123" s="17"/>
      <c r="P123" s="17">
        <f>M123</f>
        <v>50000</v>
      </c>
      <c r="Q123" s="18">
        <v>1</v>
      </c>
      <c r="R123" s="19"/>
      <c r="S123" s="19">
        <v>50000</v>
      </c>
      <c r="T123" s="20">
        <v>1</v>
      </c>
      <c r="U123" s="21"/>
      <c r="V123" s="21">
        <v>50000</v>
      </c>
      <c r="W123" t="s">
        <v>27</v>
      </c>
      <c r="X123" t="s">
        <v>27</v>
      </c>
    </row>
    <row r="124" spans="1:24">
      <c r="A124" s="22" t="s">
        <v>32</v>
      </c>
      <c r="B124" s="22" t="s">
        <v>33</v>
      </c>
      <c r="C124" s="8" t="s">
        <v>88</v>
      </c>
      <c r="D124" s="9" t="s">
        <v>23</v>
      </c>
      <c r="E124" s="36" t="s">
        <v>305</v>
      </c>
      <c r="F124" s="10" t="s">
        <v>306</v>
      </c>
      <c r="G124" s="32" t="s">
        <v>307</v>
      </c>
      <c r="H124" s="33"/>
      <c r="I124" s="33"/>
      <c r="J124" s="33"/>
      <c r="K124" s="34">
        <v>1</v>
      </c>
      <c r="L124" s="35"/>
      <c r="M124" s="35">
        <v>50000</v>
      </c>
      <c r="N124" s="16">
        <v>1</v>
      </c>
      <c r="O124" s="17"/>
      <c r="P124" s="17">
        <f>M124</f>
        <v>50000</v>
      </c>
      <c r="Q124" s="18">
        <v>1</v>
      </c>
      <c r="R124" s="19"/>
      <c r="S124" s="19">
        <f>M124</f>
        <v>50000</v>
      </c>
      <c r="T124" s="20">
        <v>1</v>
      </c>
      <c r="U124" s="21"/>
      <c r="V124" s="21">
        <f>M124</f>
        <v>50000</v>
      </c>
      <c r="W124" t="s">
        <v>27</v>
      </c>
      <c r="X124" t="s">
        <v>82</v>
      </c>
    </row>
    <row r="125" spans="1:24">
      <c r="A125" s="22" t="s">
        <v>32</v>
      </c>
      <c r="B125" s="22" t="s">
        <v>33</v>
      </c>
      <c r="C125" s="8" t="s">
        <v>88</v>
      </c>
      <c r="D125" s="9" t="s">
        <v>23</v>
      </c>
      <c r="E125" s="36" t="s">
        <v>308</v>
      </c>
      <c r="F125" s="10" t="s">
        <v>40</v>
      </c>
      <c r="G125" s="32" t="s">
        <v>308</v>
      </c>
      <c r="H125" s="33"/>
      <c r="I125" s="33"/>
      <c r="J125" s="33"/>
      <c r="K125" s="34">
        <v>1</v>
      </c>
      <c r="L125" s="35"/>
      <c r="M125" s="35">
        <f>10000*3.75</f>
        <v>37500</v>
      </c>
      <c r="N125" s="16">
        <v>1</v>
      </c>
      <c r="O125" s="17"/>
      <c r="P125" s="17">
        <f>M125</f>
        <v>37500</v>
      </c>
      <c r="Q125" s="18">
        <v>1</v>
      </c>
      <c r="R125" s="19"/>
      <c r="S125" s="19">
        <f>M125</f>
        <v>37500</v>
      </c>
      <c r="T125" s="20">
        <v>1</v>
      </c>
      <c r="U125" s="21"/>
      <c r="V125" s="21">
        <v>37500</v>
      </c>
      <c r="W125" t="s">
        <v>27</v>
      </c>
      <c r="X125" t="s">
        <v>27</v>
      </c>
    </row>
    <row r="126" spans="1:24">
      <c r="A126" s="22" t="s">
        <v>32</v>
      </c>
      <c r="B126" s="22" t="s">
        <v>33</v>
      </c>
      <c r="C126" s="8" t="s">
        <v>88</v>
      </c>
      <c r="D126" s="9" t="s">
        <v>23</v>
      </c>
      <c r="E126" s="36" t="s">
        <v>309</v>
      </c>
      <c r="F126" s="10" t="s">
        <v>40</v>
      </c>
      <c r="G126" s="32" t="s">
        <v>310</v>
      </c>
      <c r="H126" s="33"/>
      <c r="I126" s="33"/>
      <c r="J126" s="33"/>
      <c r="K126" s="34">
        <v>1</v>
      </c>
      <c r="L126" s="35"/>
      <c r="M126" s="35">
        <v>35000</v>
      </c>
      <c r="N126" s="16">
        <f>K126</f>
        <v>1</v>
      </c>
      <c r="O126" s="17"/>
      <c r="P126" s="17">
        <f>M126*1.1</f>
        <v>38500</v>
      </c>
      <c r="Q126" s="18"/>
      <c r="R126" s="19"/>
      <c r="S126" s="19">
        <f>P126*1.1</f>
        <v>42350</v>
      </c>
      <c r="T126" s="20"/>
      <c r="U126" s="21"/>
      <c r="V126" s="21">
        <f>S126*1.1</f>
        <v>46585.000000000007</v>
      </c>
      <c r="W126" t="s">
        <v>27</v>
      </c>
      <c r="X126" t="s">
        <v>27</v>
      </c>
    </row>
    <row r="127" spans="1:24">
      <c r="A127" s="7" t="s">
        <v>20</v>
      </c>
      <c r="B127" s="7" t="s">
        <v>21</v>
      </c>
      <c r="C127" s="8" t="s">
        <v>88</v>
      </c>
      <c r="D127" s="9" t="s">
        <v>23</v>
      </c>
      <c r="E127" s="10" t="s">
        <v>311</v>
      </c>
      <c r="F127" s="10" t="s">
        <v>312</v>
      </c>
      <c r="G127" s="11" t="s">
        <v>313</v>
      </c>
      <c r="H127" s="13">
        <v>5</v>
      </c>
      <c r="I127" s="13">
        <f>L127</f>
        <v>0</v>
      </c>
      <c r="J127" s="13">
        <f>M127</f>
        <v>33000</v>
      </c>
      <c r="K127" s="14">
        <v>5</v>
      </c>
      <c r="L127" s="15"/>
      <c r="M127" s="15">
        <f>K127*6600</f>
        <v>33000</v>
      </c>
      <c r="N127" s="16">
        <v>5</v>
      </c>
      <c r="O127" s="17">
        <v>0</v>
      </c>
      <c r="P127" s="17">
        <f>N127*6600</f>
        <v>33000</v>
      </c>
      <c r="Q127" s="18">
        <v>5</v>
      </c>
      <c r="R127" s="19">
        <v>0</v>
      </c>
      <c r="S127" s="19">
        <f>Q127*6600</f>
        <v>33000</v>
      </c>
      <c r="T127" s="20">
        <v>5</v>
      </c>
      <c r="U127" s="21">
        <v>0</v>
      </c>
      <c r="V127" s="21">
        <f>T127*6600</f>
        <v>33000</v>
      </c>
      <c r="W127" t="s">
        <v>27</v>
      </c>
      <c r="X127" t="s">
        <v>49</v>
      </c>
    </row>
    <row r="128" spans="1:24">
      <c r="A128" s="7" t="s">
        <v>20</v>
      </c>
      <c r="B128" s="7" t="s">
        <v>21</v>
      </c>
      <c r="C128" s="8" t="s">
        <v>88</v>
      </c>
      <c r="D128" s="9" t="s">
        <v>23</v>
      </c>
      <c r="E128" s="10" t="s">
        <v>314</v>
      </c>
      <c r="F128" s="10" t="s">
        <v>315</v>
      </c>
      <c r="G128" s="11" t="s">
        <v>316</v>
      </c>
      <c r="H128" s="13">
        <v>380</v>
      </c>
      <c r="I128" s="13">
        <f>L128</f>
        <v>0</v>
      </c>
      <c r="J128" s="13">
        <f>M128</f>
        <v>28500</v>
      </c>
      <c r="K128" s="14">
        <v>380</v>
      </c>
      <c r="L128" s="15"/>
      <c r="M128" s="15">
        <f>K128*75</f>
        <v>28500</v>
      </c>
      <c r="N128" s="16">
        <f>K128*1.1</f>
        <v>418.00000000000006</v>
      </c>
      <c r="O128" s="17">
        <v>0</v>
      </c>
      <c r="P128" s="17">
        <f>N128*75</f>
        <v>31350.000000000004</v>
      </c>
      <c r="Q128" s="18">
        <f>N128*1.1</f>
        <v>459.80000000000013</v>
      </c>
      <c r="R128" s="19">
        <v>0</v>
      </c>
      <c r="S128" s="19">
        <f>Q128*75</f>
        <v>34485.000000000007</v>
      </c>
      <c r="T128" s="20">
        <f>Q128*1.1</f>
        <v>505.7800000000002</v>
      </c>
      <c r="U128" s="21">
        <v>0</v>
      </c>
      <c r="V128" s="21">
        <f>T128*75</f>
        <v>37933.500000000015</v>
      </c>
      <c r="W128" t="s">
        <v>27</v>
      </c>
      <c r="X128" t="s">
        <v>27</v>
      </c>
    </row>
    <row r="129" spans="1:24">
      <c r="A129" s="22" t="s">
        <v>32</v>
      </c>
      <c r="B129" s="22" t="s">
        <v>33</v>
      </c>
      <c r="C129" s="8" t="s">
        <v>88</v>
      </c>
      <c r="D129" s="9" t="s">
        <v>23</v>
      </c>
      <c r="E129" s="36" t="s">
        <v>317</v>
      </c>
      <c r="F129" s="10" t="s">
        <v>80</v>
      </c>
      <c r="G129" s="32" t="s">
        <v>318</v>
      </c>
      <c r="H129" s="33"/>
      <c r="I129" s="33"/>
      <c r="J129" s="33"/>
      <c r="K129" s="34">
        <v>1</v>
      </c>
      <c r="L129" s="35"/>
      <c r="M129" s="35">
        <f>'[1]Other BOM'!B72</f>
        <v>17769.2</v>
      </c>
      <c r="N129" s="16">
        <v>1</v>
      </c>
      <c r="O129" s="17"/>
      <c r="P129" s="17">
        <f>M129</f>
        <v>17769.2</v>
      </c>
      <c r="Q129" s="18">
        <v>1</v>
      </c>
      <c r="R129" s="19"/>
      <c r="S129" s="19">
        <f>P129</f>
        <v>17769.2</v>
      </c>
      <c r="T129" s="20">
        <v>1</v>
      </c>
      <c r="U129" s="21"/>
      <c r="V129" s="21">
        <v>17769.2</v>
      </c>
      <c r="W129" t="s">
        <v>27</v>
      </c>
      <c r="X129" t="s">
        <v>82</v>
      </c>
    </row>
    <row r="130" spans="1:24">
      <c r="A130" s="7" t="s">
        <v>20</v>
      </c>
      <c r="B130" s="7" t="s">
        <v>21</v>
      </c>
      <c r="C130" s="8" t="s">
        <v>88</v>
      </c>
      <c r="D130" s="9" t="s">
        <v>23</v>
      </c>
      <c r="E130" s="10" t="s">
        <v>319</v>
      </c>
      <c r="F130" s="10" t="s">
        <v>205</v>
      </c>
      <c r="G130" s="11" t="s">
        <v>320</v>
      </c>
      <c r="H130" s="13">
        <v>380</v>
      </c>
      <c r="I130" s="13">
        <f>L130</f>
        <v>0</v>
      </c>
      <c r="J130" s="13">
        <f>M130</f>
        <v>15200</v>
      </c>
      <c r="K130" s="14">
        <v>380</v>
      </c>
      <c r="L130" s="15"/>
      <c r="M130" s="15">
        <f>K130*40</f>
        <v>15200</v>
      </c>
      <c r="N130" s="16">
        <f>K130+(K130*10%)</f>
        <v>418</v>
      </c>
      <c r="O130" s="17"/>
      <c r="P130" s="17">
        <f>N130*40</f>
        <v>16720</v>
      </c>
      <c r="Q130" s="18">
        <f>N130+(N130*10%)</f>
        <v>459.8</v>
      </c>
      <c r="R130" s="19"/>
      <c r="S130" s="19">
        <f>Q130*40</f>
        <v>18392</v>
      </c>
      <c r="T130" s="20">
        <f>Q130+(Q130*10%)</f>
        <v>505.78000000000003</v>
      </c>
      <c r="U130" s="21"/>
      <c r="V130" s="21">
        <f>T130*40</f>
        <v>20231.2</v>
      </c>
      <c r="W130" t="s">
        <v>27</v>
      </c>
      <c r="X130" t="s">
        <v>27</v>
      </c>
    </row>
    <row r="131" spans="1:24">
      <c r="A131" s="22" t="s">
        <v>32</v>
      </c>
      <c r="B131" s="22" t="s">
        <v>33</v>
      </c>
      <c r="C131" s="8" t="s">
        <v>88</v>
      </c>
      <c r="D131" s="9" t="s">
        <v>23</v>
      </c>
      <c r="E131" s="36" t="s">
        <v>321</v>
      </c>
      <c r="F131" s="10" t="s">
        <v>80</v>
      </c>
      <c r="G131" s="32" t="s">
        <v>322</v>
      </c>
      <c r="H131" s="33"/>
      <c r="I131" s="33"/>
      <c r="J131" s="33"/>
      <c r="K131" s="34">
        <v>1</v>
      </c>
      <c r="L131" s="35"/>
      <c r="M131" s="35">
        <v>10000</v>
      </c>
      <c r="N131" s="16">
        <v>1</v>
      </c>
      <c r="O131" s="17"/>
      <c r="P131" s="17">
        <f>M131</f>
        <v>10000</v>
      </c>
      <c r="Q131" s="18">
        <v>1</v>
      </c>
      <c r="R131" s="19"/>
      <c r="S131" s="19">
        <f>P131</f>
        <v>10000</v>
      </c>
      <c r="T131" s="20">
        <v>1</v>
      </c>
      <c r="U131" s="21"/>
      <c r="V131" s="21">
        <v>10000</v>
      </c>
      <c r="W131" t="s">
        <v>27</v>
      </c>
      <c r="X131" t="s">
        <v>323</v>
      </c>
    </row>
    <row r="132" spans="1:24">
      <c r="A132" s="7" t="s">
        <v>20</v>
      </c>
      <c r="B132" s="7" t="s">
        <v>21</v>
      </c>
      <c r="C132" s="8" t="s">
        <v>88</v>
      </c>
      <c r="D132" s="9" t="s">
        <v>23</v>
      </c>
      <c r="E132" s="10" t="s">
        <v>324</v>
      </c>
      <c r="F132" s="10" t="s">
        <v>205</v>
      </c>
      <c r="G132" s="11" t="s">
        <v>325</v>
      </c>
      <c r="H132" s="13">
        <v>1</v>
      </c>
      <c r="I132" s="13">
        <f t="shared" ref="I132:J136" si="16">L132</f>
        <v>0</v>
      </c>
      <c r="J132" s="13">
        <f t="shared" si="16"/>
        <v>5400</v>
      </c>
      <c r="K132" s="14">
        <v>1</v>
      </c>
      <c r="L132" s="15"/>
      <c r="M132" s="15">
        <f>K132*5400</f>
        <v>5400</v>
      </c>
      <c r="N132" s="16">
        <v>1</v>
      </c>
      <c r="O132" s="17">
        <v>0</v>
      </c>
      <c r="P132" s="17">
        <v>5400</v>
      </c>
      <c r="Q132" s="18">
        <v>1</v>
      </c>
      <c r="R132" s="19">
        <v>0</v>
      </c>
      <c r="S132" s="19">
        <v>5400</v>
      </c>
      <c r="T132" s="20">
        <v>1</v>
      </c>
      <c r="U132" s="21">
        <v>0</v>
      </c>
      <c r="V132" s="21">
        <v>5400</v>
      </c>
      <c r="W132" t="s">
        <v>27</v>
      </c>
      <c r="X132" t="s">
        <v>82</v>
      </c>
    </row>
    <row r="133" spans="1:24">
      <c r="A133" s="7" t="s">
        <v>20</v>
      </c>
      <c r="B133" s="7" t="s">
        <v>21</v>
      </c>
      <c r="C133" s="8" t="s">
        <v>88</v>
      </c>
      <c r="D133" s="9" t="s">
        <v>23</v>
      </c>
      <c r="E133" s="10" t="s">
        <v>326</v>
      </c>
      <c r="F133" s="10" t="s">
        <v>327</v>
      </c>
      <c r="G133" s="11" t="s">
        <v>328</v>
      </c>
      <c r="H133" s="13">
        <v>40</v>
      </c>
      <c r="I133" s="13">
        <f t="shared" si="16"/>
        <v>0</v>
      </c>
      <c r="J133" s="13">
        <f t="shared" si="16"/>
        <v>4800</v>
      </c>
      <c r="K133" s="14">
        <v>40</v>
      </c>
      <c r="L133" s="15"/>
      <c r="M133" s="15">
        <f>K133*120</f>
        <v>4800</v>
      </c>
      <c r="N133" s="16">
        <v>50</v>
      </c>
      <c r="O133" s="17">
        <v>0</v>
      </c>
      <c r="P133" s="17">
        <f>N133*120</f>
        <v>6000</v>
      </c>
      <c r="Q133" s="18">
        <v>60</v>
      </c>
      <c r="R133" s="19">
        <v>0</v>
      </c>
      <c r="S133" s="19">
        <f>Q133*120</f>
        <v>7200</v>
      </c>
      <c r="T133" s="20">
        <v>0</v>
      </c>
      <c r="U133" s="21">
        <v>0</v>
      </c>
      <c r="V133" s="21">
        <f>T133*120</f>
        <v>0</v>
      </c>
      <c r="W133" t="s">
        <v>27</v>
      </c>
      <c r="X133" t="s">
        <v>27</v>
      </c>
    </row>
    <row r="134" spans="1:24">
      <c r="A134" s="7" t="s">
        <v>20</v>
      </c>
      <c r="B134" s="7" t="s">
        <v>21</v>
      </c>
      <c r="C134" s="8" t="s">
        <v>88</v>
      </c>
      <c r="D134" s="9" t="s">
        <v>23</v>
      </c>
      <c r="E134" s="10" t="s">
        <v>329</v>
      </c>
      <c r="F134" s="10" t="s">
        <v>205</v>
      </c>
      <c r="G134" s="11" t="s">
        <v>330</v>
      </c>
      <c r="H134" s="13">
        <v>1</v>
      </c>
      <c r="I134" s="13">
        <f t="shared" si="16"/>
        <v>0</v>
      </c>
      <c r="J134" s="13">
        <f t="shared" si="16"/>
        <v>15750</v>
      </c>
      <c r="K134" s="14">
        <v>1</v>
      </c>
      <c r="L134" s="15"/>
      <c r="M134" s="15">
        <f>K134*4200*3.75</f>
        <v>15750</v>
      </c>
      <c r="N134" s="16">
        <v>1</v>
      </c>
      <c r="O134" s="17"/>
      <c r="P134" s="17">
        <f>M134</f>
        <v>15750</v>
      </c>
      <c r="Q134" s="18">
        <v>1</v>
      </c>
      <c r="R134" s="19"/>
      <c r="S134" s="19">
        <f>M134</f>
        <v>15750</v>
      </c>
      <c r="T134" s="20">
        <v>1</v>
      </c>
      <c r="U134" s="21"/>
      <c r="V134" s="21">
        <f>M134</f>
        <v>15750</v>
      </c>
      <c r="W134" t="s">
        <v>27</v>
      </c>
      <c r="X134" t="s">
        <v>27</v>
      </c>
    </row>
    <row r="135" spans="1:24">
      <c r="A135" s="7" t="s">
        <v>20</v>
      </c>
      <c r="B135" s="7" t="s">
        <v>21</v>
      </c>
      <c r="C135" s="8" t="s">
        <v>88</v>
      </c>
      <c r="D135" s="9" t="s">
        <v>23</v>
      </c>
      <c r="E135" s="10" t="s">
        <v>331</v>
      </c>
      <c r="F135" s="10" t="s">
        <v>205</v>
      </c>
      <c r="G135" s="11" t="s">
        <v>332</v>
      </c>
      <c r="H135" s="13">
        <v>1</v>
      </c>
      <c r="I135" s="13">
        <f t="shared" si="16"/>
        <v>0</v>
      </c>
      <c r="J135" s="13">
        <f t="shared" si="16"/>
        <v>6750</v>
      </c>
      <c r="K135" s="14">
        <v>1</v>
      </c>
      <c r="L135" s="15"/>
      <c r="M135" s="15">
        <f>1800*3.75</f>
        <v>6750</v>
      </c>
      <c r="N135" s="16">
        <v>1</v>
      </c>
      <c r="O135" s="17">
        <v>0</v>
      </c>
      <c r="P135" s="17">
        <f>M135</f>
        <v>6750</v>
      </c>
      <c r="Q135" s="18">
        <v>1</v>
      </c>
      <c r="R135" s="19">
        <v>0</v>
      </c>
      <c r="S135" s="19">
        <f>M135</f>
        <v>6750</v>
      </c>
      <c r="T135" s="20">
        <v>1</v>
      </c>
      <c r="U135" s="21">
        <v>0</v>
      </c>
      <c r="V135" s="21">
        <f>M135</f>
        <v>6750</v>
      </c>
      <c r="W135" t="s">
        <v>27</v>
      </c>
      <c r="X135" t="s">
        <v>27</v>
      </c>
    </row>
    <row r="136" spans="1:24">
      <c r="A136" s="7" t="s">
        <v>20</v>
      </c>
      <c r="B136" s="7" t="s">
        <v>21</v>
      </c>
      <c r="C136" s="8" t="s">
        <v>88</v>
      </c>
      <c r="D136" s="9" t="s">
        <v>23</v>
      </c>
      <c r="E136" s="10" t="s">
        <v>333</v>
      </c>
      <c r="F136" s="10" t="s">
        <v>205</v>
      </c>
      <c r="G136" s="11" t="s">
        <v>334</v>
      </c>
      <c r="H136" s="13">
        <v>1</v>
      </c>
      <c r="I136" s="13">
        <f t="shared" si="16"/>
        <v>0</v>
      </c>
      <c r="J136" s="13">
        <f t="shared" si="16"/>
        <v>2400</v>
      </c>
      <c r="K136" s="14">
        <v>1</v>
      </c>
      <c r="L136" s="15"/>
      <c r="M136" s="15">
        <v>2400</v>
      </c>
      <c r="N136" s="16">
        <v>1</v>
      </c>
      <c r="O136" s="17">
        <v>0</v>
      </c>
      <c r="P136" s="17">
        <v>2300</v>
      </c>
      <c r="Q136" s="18">
        <v>1</v>
      </c>
      <c r="R136" s="19">
        <v>0</v>
      </c>
      <c r="S136" s="19">
        <v>2300</v>
      </c>
      <c r="T136" s="20">
        <v>1</v>
      </c>
      <c r="U136" s="21">
        <v>0</v>
      </c>
      <c r="V136" s="21">
        <v>2300</v>
      </c>
      <c r="W136" t="s">
        <v>27</v>
      </c>
      <c r="X136" t="s">
        <v>27</v>
      </c>
    </row>
    <row r="137" spans="1:24">
      <c r="A137" s="22" t="s">
        <v>32</v>
      </c>
      <c r="B137" s="22" t="s">
        <v>33</v>
      </c>
      <c r="C137" s="8" t="s">
        <v>57</v>
      </c>
      <c r="D137" s="9" t="s">
        <v>34</v>
      </c>
      <c r="E137" s="10" t="s">
        <v>335</v>
      </c>
      <c r="F137" s="10" t="s">
        <v>113</v>
      </c>
      <c r="G137" s="47" t="s">
        <v>336</v>
      </c>
      <c r="H137" s="48"/>
      <c r="I137" s="48"/>
      <c r="J137" s="48"/>
      <c r="K137" s="49">
        <v>15</v>
      </c>
      <c r="L137" s="50">
        <f>K137*'[1]Other BOM'!B6</f>
        <v>22500</v>
      </c>
      <c r="M137" s="27"/>
      <c r="N137" s="16">
        <v>3</v>
      </c>
      <c r="O137" s="17">
        <f>N137*'[1]Other BOM'!B6</f>
        <v>4500</v>
      </c>
      <c r="P137" s="17"/>
      <c r="Q137" s="18"/>
      <c r="R137" s="19"/>
      <c r="S137" s="19"/>
      <c r="T137" s="20">
        <v>10</v>
      </c>
      <c r="U137" s="21">
        <f>T137*'[1]Other BOM'!B6</f>
        <v>15000</v>
      </c>
      <c r="V137" s="21"/>
      <c r="W137" t="s">
        <v>27</v>
      </c>
    </row>
    <row r="138" spans="1:24">
      <c r="A138" s="37" t="s">
        <v>98</v>
      </c>
      <c r="B138" s="37" t="s">
        <v>337</v>
      </c>
      <c r="C138" s="8" t="s">
        <v>338</v>
      </c>
      <c r="D138" s="9" t="s">
        <v>34</v>
      </c>
      <c r="E138" s="37" t="s">
        <v>339</v>
      </c>
      <c r="F138" s="37" t="s">
        <v>40</v>
      </c>
      <c r="G138" s="9" t="s">
        <v>340</v>
      </c>
      <c r="H138" s="28"/>
      <c r="I138" s="28"/>
      <c r="J138" s="28"/>
      <c r="K138" s="29">
        <v>1</v>
      </c>
      <c r="L138" s="27">
        <f>(750000+250000)*0.8*0.5*0.25</f>
        <v>100000</v>
      </c>
      <c r="M138" s="27"/>
      <c r="N138" s="16"/>
      <c r="O138" s="16">
        <f>L138</f>
        <v>100000</v>
      </c>
      <c r="P138" s="16"/>
      <c r="Q138" s="18"/>
      <c r="R138" s="19"/>
      <c r="S138" s="19"/>
      <c r="T138" s="20"/>
      <c r="U138" s="21"/>
      <c r="V138" s="21"/>
    </row>
    <row r="139" spans="1:24">
      <c r="A139" s="37" t="s">
        <v>98</v>
      </c>
      <c r="B139" s="37" t="s">
        <v>337</v>
      </c>
      <c r="C139" s="8" t="s">
        <v>338</v>
      </c>
      <c r="D139" s="9" t="s">
        <v>93</v>
      </c>
      <c r="E139" s="37" t="s">
        <v>339</v>
      </c>
      <c r="F139" s="37" t="s">
        <v>40</v>
      </c>
      <c r="G139" s="9" t="s">
        <v>110</v>
      </c>
      <c r="H139" s="28"/>
      <c r="I139" s="28"/>
      <c r="J139" s="28"/>
      <c r="K139" s="29">
        <v>1</v>
      </c>
      <c r="L139" s="27"/>
      <c r="M139" s="27"/>
      <c r="N139" s="16"/>
      <c r="O139" s="16"/>
      <c r="P139" s="16">
        <f>L138*0.1</f>
        <v>10000</v>
      </c>
      <c r="Q139" s="18"/>
      <c r="R139" s="19"/>
      <c r="S139" s="19">
        <f>P139+L138*0.1</f>
        <v>20000</v>
      </c>
      <c r="T139" s="20"/>
      <c r="U139" s="21"/>
      <c r="V139" s="21">
        <f>S139</f>
        <v>20000</v>
      </c>
    </row>
    <row r="140" spans="1:24">
      <c r="A140" s="37" t="s">
        <v>98</v>
      </c>
      <c r="B140" s="37" t="s">
        <v>337</v>
      </c>
      <c r="C140" s="8" t="s">
        <v>338</v>
      </c>
      <c r="D140" s="9" t="s">
        <v>105</v>
      </c>
      <c r="E140" s="37" t="s">
        <v>341</v>
      </c>
      <c r="F140" s="37" t="s">
        <v>101</v>
      </c>
      <c r="G140" s="9" t="s">
        <v>342</v>
      </c>
      <c r="H140" s="28"/>
      <c r="I140" s="28"/>
      <c r="J140" s="28"/>
      <c r="K140" s="29">
        <v>1</v>
      </c>
      <c r="L140" s="27">
        <f>3.75*(200000+150000)*0.8 *0.4</f>
        <v>420000</v>
      </c>
      <c r="M140" s="27"/>
      <c r="N140" s="16"/>
      <c r="O140" s="16">
        <f>3.75*(200000+150000)*0.8* 0.4</f>
        <v>420000</v>
      </c>
      <c r="P140" s="16"/>
      <c r="Q140" s="18"/>
      <c r="R140" s="19">
        <f>3.75*(200000+150000)*0.8* 0.2</f>
        <v>210000</v>
      </c>
      <c r="S140" s="19"/>
      <c r="T140" s="20"/>
      <c r="U140" s="21"/>
      <c r="V140" s="21"/>
    </row>
    <row r="141" spans="1:24">
      <c r="A141" s="37" t="s">
        <v>98</v>
      </c>
      <c r="B141" s="37" t="s">
        <v>337</v>
      </c>
      <c r="C141" s="8" t="s">
        <v>338</v>
      </c>
      <c r="D141" s="9" t="s">
        <v>23</v>
      </c>
      <c r="E141" s="37" t="s">
        <v>341</v>
      </c>
      <c r="F141" s="37" t="s">
        <v>101</v>
      </c>
      <c r="G141" s="9" t="s">
        <v>342</v>
      </c>
      <c r="H141" s="28"/>
      <c r="I141" s="28"/>
      <c r="J141" s="28"/>
      <c r="K141" s="29">
        <v>1</v>
      </c>
      <c r="L141" s="27"/>
      <c r="M141" s="27">
        <f>(20000+20000)*3.75</f>
        <v>150000</v>
      </c>
      <c r="N141" s="16"/>
      <c r="O141" s="16"/>
      <c r="P141" s="16">
        <f>M141</f>
        <v>150000</v>
      </c>
      <c r="Q141" s="18"/>
      <c r="R141" s="19"/>
      <c r="S141" s="19">
        <f>P141</f>
        <v>150000</v>
      </c>
      <c r="T141" s="20"/>
      <c r="U141" s="21"/>
      <c r="V141" s="21">
        <f>S141</f>
        <v>150000</v>
      </c>
    </row>
    <row r="142" spans="1:24">
      <c r="A142" s="37" t="s">
        <v>98</v>
      </c>
      <c r="B142" s="37" t="s">
        <v>337</v>
      </c>
      <c r="C142" s="8" t="s">
        <v>338</v>
      </c>
      <c r="D142" s="9" t="s">
        <v>105</v>
      </c>
      <c r="E142" s="37" t="s">
        <v>343</v>
      </c>
      <c r="F142" s="37" t="s">
        <v>40</v>
      </c>
      <c r="G142" s="9" t="s">
        <v>343</v>
      </c>
      <c r="H142" s="28"/>
      <c r="I142" s="28"/>
      <c r="J142" s="28"/>
      <c r="K142" s="29">
        <v>1</v>
      </c>
      <c r="L142" s="39">
        <f>75000*3.75</f>
        <v>281250</v>
      </c>
      <c r="M142" s="39"/>
      <c r="N142" s="16"/>
      <c r="O142" s="17"/>
      <c r="P142" s="17"/>
      <c r="Q142" s="18"/>
      <c r="R142" s="19"/>
      <c r="S142" s="19"/>
      <c r="T142" s="20"/>
      <c r="U142" s="21"/>
      <c r="V142" s="21"/>
    </row>
    <row r="143" spans="1:24">
      <c r="A143" s="37" t="s">
        <v>98</v>
      </c>
      <c r="B143" s="37" t="s">
        <v>337</v>
      </c>
      <c r="C143" s="8" t="s">
        <v>338</v>
      </c>
      <c r="D143" s="9" t="s">
        <v>23</v>
      </c>
      <c r="E143" s="37" t="s">
        <v>343</v>
      </c>
      <c r="F143" s="37" t="s">
        <v>40</v>
      </c>
      <c r="G143" s="9" t="s">
        <v>343</v>
      </c>
      <c r="H143" s="28"/>
      <c r="I143" s="28"/>
      <c r="J143" s="28"/>
      <c r="K143" s="29">
        <v>1</v>
      </c>
      <c r="L143" s="39"/>
      <c r="M143" s="39">
        <f>40000*3.75</f>
        <v>150000</v>
      </c>
      <c r="N143" s="16">
        <v>1</v>
      </c>
      <c r="O143" s="17"/>
      <c r="P143" s="17">
        <f>M143</f>
        <v>150000</v>
      </c>
      <c r="Q143" s="18">
        <v>1</v>
      </c>
      <c r="R143" s="19"/>
      <c r="S143" s="19">
        <f>M143</f>
        <v>150000</v>
      </c>
      <c r="T143" s="20">
        <v>1</v>
      </c>
      <c r="U143" s="21"/>
      <c r="V143" s="21">
        <f>M143</f>
        <v>150000</v>
      </c>
    </row>
    <row r="144" spans="1:24">
      <c r="A144" s="37" t="s">
        <v>98</v>
      </c>
      <c r="B144" s="37" t="s">
        <v>337</v>
      </c>
      <c r="C144" s="8" t="s">
        <v>338</v>
      </c>
      <c r="D144" s="9" t="s">
        <v>105</v>
      </c>
      <c r="E144" s="37" t="s">
        <v>344</v>
      </c>
      <c r="F144" s="37" t="s">
        <v>40</v>
      </c>
      <c r="G144" s="9" t="s">
        <v>345</v>
      </c>
      <c r="H144" s="28"/>
      <c r="I144" s="28"/>
      <c r="J144" s="28"/>
      <c r="K144" s="29">
        <v>1</v>
      </c>
      <c r="L144" s="39">
        <f>40000*3.75</f>
        <v>150000</v>
      </c>
      <c r="M144" s="39"/>
      <c r="N144" s="16"/>
      <c r="O144" s="17"/>
      <c r="P144" s="17"/>
      <c r="Q144" s="18"/>
      <c r="R144" s="19"/>
      <c r="S144" s="19"/>
      <c r="T144" s="20"/>
      <c r="U144" s="21"/>
      <c r="V144" s="21"/>
    </row>
    <row r="145" spans="1:23">
      <c r="A145" s="37" t="s">
        <v>98</v>
      </c>
      <c r="B145" s="37" t="s">
        <v>337</v>
      </c>
      <c r="C145" s="8" t="s">
        <v>338</v>
      </c>
      <c r="D145" s="9" t="s">
        <v>23</v>
      </c>
      <c r="E145" s="37" t="s">
        <v>344</v>
      </c>
      <c r="F145" s="37" t="s">
        <v>40</v>
      </c>
      <c r="G145" s="9" t="s">
        <v>345</v>
      </c>
      <c r="H145" s="28"/>
      <c r="I145" s="28"/>
      <c r="J145" s="28"/>
      <c r="K145" s="29">
        <v>1</v>
      </c>
      <c r="L145" s="39"/>
      <c r="M145" s="39">
        <f>35000*3.75</f>
        <v>131250</v>
      </c>
      <c r="N145" s="16">
        <v>1</v>
      </c>
      <c r="O145" s="17"/>
      <c r="P145" s="17">
        <f>M145</f>
        <v>131250</v>
      </c>
      <c r="Q145" s="18">
        <v>1</v>
      </c>
      <c r="R145" s="19"/>
      <c r="S145" s="19">
        <f>M145</f>
        <v>131250</v>
      </c>
      <c r="T145" s="20">
        <v>1</v>
      </c>
      <c r="U145" s="21"/>
      <c r="V145" s="21">
        <f>M145</f>
        <v>131250</v>
      </c>
    </row>
    <row r="146" spans="1:23">
      <c r="A146" s="37" t="s">
        <v>98</v>
      </c>
      <c r="B146" s="37" t="s">
        <v>337</v>
      </c>
      <c r="C146" s="8" t="s">
        <v>338</v>
      </c>
      <c r="D146" s="9" t="s">
        <v>105</v>
      </c>
      <c r="E146" s="37" t="s">
        <v>346</v>
      </c>
      <c r="F146" s="37" t="s">
        <v>40</v>
      </c>
      <c r="G146" s="9" t="s">
        <v>346</v>
      </c>
      <c r="H146" s="28"/>
      <c r="I146" s="28"/>
      <c r="J146" s="28"/>
      <c r="K146" s="29">
        <v>1</v>
      </c>
      <c r="L146" s="27">
        <f>35000*3.75</f>
        <v>131250</v>
      </c>
      <c r="M146" s="39"/>
      <c r="N146" s="16"/>
      <c r="O146" s="17"/>
      <c r="P146" s="17"/>
      <c r="Q146" s="18"/>
      <c r="R146" s="19"/>
      <c r="S146" s="19"/>
      <c r="T146" s="20"/>
      <c r="U146" s="21"/>
      <c r="V146" s="21"/>
    </row>
    <row r="147" spans="1:23">
      <c r="A147" s="37" t="s">
        <v>98</v>
      </c>
      <c r="B147" s="37" t="s">
        <v>337</v>
      </c>
      <c r="C147" s="8" t="s">
        <v>338</v>
      </c>
      <c r="D147" s="9" t="s">
        <v>23</v>
      </c>
      <c r="E147" s="37" t="s">
        <v>346</v>
      </c>
      <c r="F147" s="37" t="s">
        <v>40</v>
      </c>
      <c r="G147" s="9" t="s">
        <v>346</v>
      </c>
      <c r="H147" s="28"/>
      <c r="I147" s="28"/>
      <c r="J147" s="28"/>
      <c r="K147" s="29">
        <v>1</v>
      </c>
      <c r="L147" s="27"/>
      <c r="M147" s="39">
        <f>15000*3.75</f>
        <v>56250</v>
      </c>
      <c r="N147" s="16">
        <v>1</v>
      </c>
      <c r="O147" s="17"/>
      <c r="P147" s="17">
        <f>15000*3.75</f>
        <v>56250</v>
      </c>
      <c r="Q147" s="18"/>
      <c r="R147" s="19"/>
      <c r="S147" s="19">
        <f>15000*3.75</f>
        <v>56250</v>
      </c>
      <c r="T147" s="20"/>
      <c r="U147" s="21"/>
      <c r="V147" s="21">
        <f>15000*3.75</f>
        <v>56250</v>
      </c>
    </row>
    <row r="148" spans="1:23">
      <c r="A148" s="37" t="s">
        <v>98</v>
      </c>
      <c r="B148" s="37" t="s">
        <v>337</v>
      </c>
      <c r="C148" s="8" t="s">
        <v>338</v>
      </c>
      <c r="D148" s="9" t="s">
        <v>105</v>
      </c>
      <c r="E148" s="37" t="s">
        <v>347</v>
      </c>
      <c r="F148" s="37" t="s">
        <v>40</v>
      </c>
      <c r="G148" s="9" t="s">
        <v>347</v>
      </c>
      <c r="H148" s="28"/>
      <c r="I148" s="28"/>
      <c r="J148" s="28"/>
      <c r="K148" s="29">
        <v>1</v>
      </c>
      <c r="L148" s="27">
        <f>35000*3.75</f>
        <v>131250</v>
      </c>
      <c r="M148" s="39"/>
      <c r="N148" s="16"/>
      <c r="O148" s="17"/>
      <c r="P148" s="17"/>
      <c r="Q148" s="18"/>
      <c r="R148" s="19"/>
      <c r="S148" s="19"/>
      <c r="T148" s="20"/>
      <c r="U148" s="21"/>
      <c r="V148" s="21"/>
    </row>
    <row r="149" spans="1:23">
      <c r="A149" s="37" t="s">
        <v>98</v>
      </c>
      <c r="B149" s="37" t="s">
        <v>337</v>
      </c>
      <c r="C149" s="8" t="s">
        <v>338</v>
      </c>
      <c r="D149" s="9" t="s">
        <v>23</v>
      </c>
      <c r="E149" s="37" t="s">
        <v>347</v>
      </c>
      <c r="F149" s="37" t="s">
        <v>40</v>
      </c>
      <c r="G149" s="9" t="s">
        <v>347</v>
      </c>
      <c r="H149" s="28"/>
      <c r="I149" s="28"/>
      <c r="J149" s="28"/>
      <c r="K149" s="29">
        <v>1</v>
      </c>
      <c r="L149" s="27"/>
      <c r="M149" s="27">
        <f>50000*3.75</f>
        <v>187500</v>
      </c>
      <c r="N149" s="16">
        <v>1</v>
      </c>
      <c r="O149" s="17"/>
      <c r="P149" s="17">
        <f>M149</f>
        <v>187500</v>
      </c>
      <c r="Q149" s="18">
        <v>1</v>
      </c>
      <c r="R149" s="19"/>
      <c r="S149" s="19">
        <f>P149</f>
        <v>187500</v>
      </c>
      <c r="T149" s="20">
        <v>1</v>
      </c>
      <c r="U149" s="21"/>
      <c r="V149" s="21">
        <f>S149</f>
        <v>187500</v>
      </c>
    </row>
    <row r="150" spans="1:23">
      <c r="A150" s="37" t="s">
        <v>98</v>
      </c>
      <c r="B150" s="37" t="s">
        <v>337</v>
      </c>
      <c r="C150" s="8" t="s">
        <v>338</v>
      </c>
      <c r="D150" s="9" t="s">
        <v>23</v>
      </c>
      <c r="E150" s="37" t="s">
        <v>348</v>
      </c>
      <c r="F150" s="37" t="s">
        <v>349</v>
      </c>
      <c r="G150" s="9" t="s">
        <v>348</v>
      </c>
      <c r="H150" s="28"/>
      <c r="I150" s="28"/>
      <c r="J150" s="28"/>
      <c r="K150" s="29">
        <v>1</v>
      </c>
      <c r="L150" s="39"/>
      <c r="M150" s="39">
        <f>50000*3.75</f>
        <v>187500</v>
      </c>
      <c r="N150" s="16">
        <v>1</v>
      </c>
      <c r="O150" s="17"/>
      <c r="P150" s="17">
        <f>M150</f>
        <v>187500</v>
      </c>
      <c r="Q150" s="18">
        <v>1</v>
      </c>
      <c r="R150" s="19"/>
      <c r="S150" s="19">
        <f>M150</f>
        <v>187500</v>
      </c>
      <c r="T150" s="20">
        <v>1</v>
      </c>
      <c r="U150" s="21"/>
      <c r="V150" s="21">
        <f>M150</f>
        <v>187500</v>
      </c>
    </row>
    <row r="151" spans="1:23">
      <c r="M151" s="65">
        <f>SUBTOTAL(9,M104:M111)+M112</f>
        <v>1315650</v>
      </c>
    </row>
    <row r="152" spans="1:23">
      <c r="K152" s="66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</row>
    <row r="153" spans="1:23">
      <c r="K153" s="66"/>
      <c r="L153" s="67"/>
      <c r="M153" s="68"/>
      <c r="N153" s="67"/>
      <c r="O153" s="67"/>
      <c r="P153" s="67"/>
      <c r="Q153" s="67"/>
      <c r="R153" s="67"/>
      <c r="S153" s="67"/>
      <c r="T153" s="67"/>
      <c r="U153" s="67"/>
      <c r="V153" s="67"/>
      <c r="W153" s="69"/>
    </row>
    <row r="154" spans="1:23">
      <c r="K154" s="66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</row>
    <row r="155" spans="1:23">
      <c r="K155" s="66"/>
      <c r="L155" s="67"/>
      <c r="M155" s="68"/>
      <c r="N155" s="67"/>
      <c r="O155" s="67"/>
      <c r="P155" s="67"/>
      <c r="Q155" s="67"/>
      <c r="R155" s="67"/>
      <c r="S155" s="67"/>
      <c r="T155" s="67"/>
      <c r="U155" s="67"/>
      <c r="V155" s="67"/>
      <c r="W155" s="69"/>
    </row>
    <row r="156" spans="1:23">
      <c r="K156" s="66"/>
      <c r="L156" s="70"/>
      <c r="M156" s="68"/>
      <c r="N156" s="67"/>
      <c r="O156" s="67"/>
      <c r="P156" s="67"/>
      <c r="Q156" s="67"/>
      <c r="R156" s="67"/>
      <c r="S156" s="67"/>
      <c r="T156" s="67"/>
      <c r="U156" s="67"/>
      <c r="V156" s="67"/>
    </row>
    <row r="157" spans="1:23">
      <c r="E157" s="71"/>
      <c r="K157" s="66"/>
      <c r="L157" s="67"/>
      <c r="M157" s="68"/>
      <c r="N157" s="67"/>
      <c r="O157" s="67"/>
      <c r="P157" s="72"/>
      <c r="Q157" s="67"/>
      <c r="R157" s="67"/>
      <c r="S157" s="67"/>
      <c r="T157" s="67"/>
      <c r="U157" s="67"/>
      <c r="V157" s="67"/>
    </row>
    <row r="158" spans="1:23">
      <c r="F158" s="55"/>
      <c r="G158" s="62"/>
      <c r="K158" s="66"/>
      <c r="L158" s="67"/>
      <c r="M158" s="68"/>
      <c r="N158" s="67"/>
      <c r="O158" s="67"/>
      <c r="P158" s="67"/>
      <c r="Q158" s="67"/>
      <c r="R158" s="67"/>
      <c r="S158" s="67"/>
      <c r="T158" s="67"/>
      <c r="U158" s="67"/>
      <c r="V158" s="67"/>
    </row>
    <row r="159" spans="1:23">
      <c r="F159" s="55"/>
      <c r="G159" s="62"/>
      <c r="K159" s="66"/>
      <c r="L159" s="73"/>
      <c r="M159" s="74"/>
      <c r="N159" s="75"/>
      <c r="P159" s="67"/>
      <c r="Q159" s="67"/>
      <c r="R159" s="67"/>
      <c r="S159" s="67"/>
      <c r="T159" s="67"/>
      <c r="U159" s="67"/>
      <c r="V159" s="67"/>
    </row>
    <row r="160" spans="1:23">
      <c r="E160" s="76"/>
      <c r="F160" s="77"/>
      <c r="G160" s="62"/>
      <c r="K160" s="66"/>
      <c r="L160" s="73"/>
      <c r="M160" s="73"/>
      <c r="N160" s="73"/>
      <c r="O160" s="67"/>
      <c r="P160" s="67"/>
      <c r="Q160" s="67"/>
      <c r="R160" s="67"/>
      <c r="S160" s="67"/>
      <c r="T160" s="67"/>
      <c r="U160" s="67"/>
      <c r="V160" s="67"/>
    </row>
    <row r="161" spans="5:22" ht="15.75" customHeight="1">
      <c r="E161" s="78"/>
      <c r="F161" s="77"/>
      <c r="G161" s="62"/>
      <c r="K161" s="66"/>
      <c r="L161" s="67"/>
      <c r="N161" s="67"/>
      <c r="O161" s="67"/>
      <c r="P161" s="67"/>
      <c r="Q161" s="67"/>
      <c r="R161" s="67"/>
      <c r="S161" s="67"/>
      <c r="T161" s="67"/>
      <c r="U161" s="67"/>
      <c r="V161" s="67"/>
    </row>
    <row r="162" spans="5:22">
      <c r="E162" s="76"/>
      <c r="F162" s="62"/>
      <c r="G162" s="62"/>
      <c r="K162" s="66"/>
      <c r="L162" s="73"/>
      <c r="N162" s="73"/>
      <c r="O162" s="67"/>
      <c r="P162" s="67"/>
      <c r="Q162" s="67"/>
      <c r="R162" s="67"/>
      <c r="S162" s="67"/>
      <c r="T162" s="67"/>
      <c r="U162" s="67"/>
      <c r="V162" s="67"/>
    </row>
    <row r="163" spans="5:22">
      <c r="F163" s="62"/>
      <c r="G163" s="62"/>
      <c r="K163" s="66"/>
      <c r="L163" s="67"/>
      <c r="M163" s="68"/>
      <c r="N163" s="67"/>
      <c r="O163" s="67"/>
      <c r="P163" s="67"/>
      <c r="Q163" s="67"/>
      <c r="R163" s="67"/>
      <c r="S163" s="67"/>
      <c r="T163" s="67"/>
      <c r="U163" s="67"/>
      <c r="V163" s="67"/>
    </row>
    <row r="164" spans="5:22">
      <c r="F164" s="62"/>
      <c r="G164" s="64"/>
    </row>
    <row r="165" spans="5:22">
      <c r="G165" s="62"/>
    </row>
    <row r="166" spans="5:22">
      <c r="F166" s="55"/>
      <c r="G166" s="62"/>
    </row>
    <row r="167" spans="5:22">
      <c r="G167" s="62"/>
    </row>
  </sheetData>
  <autoFilter ref="A1:Z151" xr:uid="{A5993637-A166-914A-B562-B6A53F1A8360}"/>
  <conditionalFormatting sqref="C1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cbacfa04-786c-4ea1-ba4b-5f47e7cc4eea}" enabled="0" method="" siteId="{cbacfa04-786c-4ea1-ba4b-5f47e7cc4e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Tammam Zakkar</dc:creator>
  <cp:lastModifiedBy>Tammam Zakkar</cp:lastModifiedBy>
  <dcterms:created xsi:type="dcterms:W3CDTF">2025-11-03T06:44:43Z</dcterms:created>
  <dcterms:modified xsi:type="dcterms:W3CDTF">2025-11-03T06:45:46Z</dcterms:modified>
</cp:coreProperties>
</file>